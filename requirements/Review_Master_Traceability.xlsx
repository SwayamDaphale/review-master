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" sheetId="1" state="visible" r:id="rId3"/>
    <sheet name="Coverage" sheetId="2" state="visible" r:id="rId4"/>
    <sheet name="Endpoint index" sheetId="3" state="visible" r:id="rId5"/>
  </sheets>
  <definedNames>
    <definedName function="false" hidden="true" localSheetId="2" name="_xlnm._FilterDatabase" vbProcedure="false">'Endpoint index'!$A$3:$D$67</definedName>
    <definedName function="false" hidden="false" localSheetId="0" name="_xlnm.Print_Titles" vbProcedure="false">Traceability!$4:$4</definedName>
    <definedName function="false" hidden="true" localSheetId="0" name="_xlnm._FilterDatabase" vbProcedure="false">Traceability!$A$4:$P$57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<sst xmlns="http://schemas.openxmlformats.org/spreadsheetml/2006/main" count="1079" uniqueCount="524">
  <si>
    <t xml:space="preserve">Review Master - User Story Traceability Matrix</t>
  </si>
  <si>
    <t xml:space="preserve">Each story mapped to backend module, architecture section, API endpoints, tables, agents/skills, delivery phase and test approach. All references were checked against openapi.yaml, DATA_MODEL.md, SKILLS.md and AGENTS.md at build time.</t>
  </si>
  <si>
    <t xml:space="preserve">Version</t>
  </si>
  <si>
    <t xml:space="preserve">Story ID</t>
  </si>
  <si>
    <t xml:space="preserve">Title</t>
  </si>
  <si>
    <t xml:space="preserve">Role</t>
  </si>
  <si>
    <t xml:space="preserve">Priority</t>
  </si>
  <si>
    <t xml:space="preserve">Status</t>
  </si>
  <si>
    <t xml:space="preserve">Phase</t>
  </si>
  <si>
    <t xml:space="preserve">Sprints</t>
  </si>
  <si>
    <t xml:space="preserve">Backend module(s)</t>
  </si>
  <si>
    <t xml:space="preserve">Architecture reference</t>
  </si>
  <si>
    <t xml:space="preserve">API endpoints</t>
  </si>
  <si>
    <t xml:space="preserve">Key tables</t>
  </si>
  <si>
    <t xml:space="preserve">Agents / skills</t>
  </si>
  <si>
    <t xml:space="preserve">Flow</t>
  </si>
  <si>
    <t xml:space="preserve">Test approach</t>
  </si>
  <si>
    <t xml:space="preserve">Notes / gaps</t>
  </si>
  <si>
    <t xml:space="preserve">V1</t>
  </si>
  <si>
    <t xml:space="preserve">US-002</t>
  </si>
  <si>
    <t xml:space="preserve">Resolve canonical product and variant</t>
  </si>
  <si>
    <t xml:space="preserve">Consumer</t>
  </si>
  <si>
    <t xml:space="preserve">Must Have</t>
  </si>
  <si>
    <t xml:space="preserve">Draft</t>
  </si>
  <si>
    <t xml:space="preserve">Phase 1</t>
  </si>
  <si>
    <t xml:space="preserve">S2-S4</t>
  </si>
  <si>
    <t xml:space="preserve">catalog</t>
  </si>
  <si>
    <t xml:space="preserve">Architecture §3.4; ADR-0006</t>
  </si>
  <si>
    <t xml:space="preserve">POST /api/v1/products/identify</t>
  </si>
  <si>
    <t xml:space="preserve">product_families, listings, product_mappings, match_candidates, variants</t>
  </si>
  <si>
    <t xml:space="preserve">match_product, resolve_variant, Identity Matching Assistant</t>
  </si>
  <si>
    <t xml:space="preserve">SEQUENCE §1</t>
  </si>
  <si>
    <t xml:space="preserve">Unit tests of matching order; labeled-set accuracy method (TEST_STRATEGY §4)</t>
  </si>
  <si>
    <t xml:space="preserve">US-003</t>
  </si>
  <si>
    <t xml:space="preserve">Correct product identification</t>
  </si>
  <si>
    <t xml:space="preserve">catalog + admin</t>
  </si>
  <si>
    <t xml:space="preserve">Architecture §3.4</t>
  </si>
  <si>
    <t xml:space="preserve">POST /api/v1/products/corrections</t>
  </si>
  <si>
    <t xml:space="preserve">product_corrections, audit_log</t>
  </si>
  <si>
    <t xml:space="preserve">-</t>
  </si>
  <si>
    <t xml:space="preserve">Integration: a user correction never changes the global mapping; audit row exists</t>
  </si>
  <si>
    <t xml:space="preserve">US-004</t>
  </si>
  <si>
    <t xml:space="preserve">View normalized specifications</t>
  </si>
  <si>
    <t xml:space="preserve">normalization</t>
  </si>
  <si>
    <t xml:space="preserve">Architecture §3.5</t>
  </si>
  <si>
    <t xml:space="preserve">GET /api/v1/variants/{variant_id}
GET /api/v1/products/{product_id}</t>
  </si>
  <si>
    <t xml:space="preserve">categories, variants</t>
  </si>
  <si>
    <t xml:space="preserve">normalize_specs, convert_units</t>
  </si>
  <si>
    <t xml:space="preserve">Unit + property tests (units, missing is null, conflicting sources shown)</t>
  </si>
  <si>
    <t xml:space="preserve">US-005</t>
  </si>
  <si>
    <t xml:space="preserve">Search products on the website</t>
  </si>
  <si>
    <t xml:space="preserve">DATA_MODEL §4 (pg_trgm search)</t>
  </si>
  <si>
    <t xml:space="preserve">GET /api/v1/products</t>
  </si>
  <si>
    <t xml:space="preserve">products</t>
  </si>
  <si>
    <t xml:space="preserve">Integration: search ranking, empty and misspelled queries</t>
  </si>
  <si>
    <t xml:space="preserve">US-033</t>
  </si>
  <si>
    <t xml:space="preserve">Manage users, roles, and permissions</t>
  </si>
  <si>
    <t xml:space="preserve">Admin</t>
  </si>
  <si>
    <t xml:space="preserve">auth + admin</t>
  </si>
  <si>
    <t xml:space="preserve">Architecture §3.16; SECURITY §2</t>
  </si>
  <si>
    <t xml:space="preserve">GET /api/v1/users/me
GET /api/v1/admin/users
PUT /api/v1/admin/users/{user_id}/roles</t>
  </si>
  <si>
    <t xml:space="preserve">users, memberships, audit_log</t>
  </si>
  <si>
    <t xml:space="preserve">check_permission, log_trace</t>
  </si>
  <si>
    <t xml:space="preserve">SEQUENCE §5</t>
  </si>
  <si>
    <t xml:space="preserve">Escalation tests; role change audited; MFA for admin/expert</t>
  </si>
  <si>
    <t xml:space="preserve">Admin user/role endpoints added to the API skeleton</t>
  </si>
  <si>
    <t xml:space="preserve">US-034</t>
  </si>
  <si>
    <t xml:space="preserve">Manage categories and versioned evaluation models</t>
  </si>
  <si>
    <t xml:space="preserve">Clarification Required</t>
  </si>
  <si>
    <t xml:space="preserve">evaluation + admin</t>
  </si>
  <si>
    <t xml:space="preserve">EVALUATION_MODEL_SPECS; ADR-0004</t>
  </si>
  <si>
    <t xml:space="preserve">GET /api/v1/admin/evaluation-models
GET /api/v1/admin/evaluation-models/{model_id}
POST /api/v1/admin/evaluation-models/{model_id}/versions
POST /api/v1/admin/evaluation-model-versions/{version_id}/publish</t>
  </si>
  <si>
    <t xml:space="preserve">evaluation_models, evaluation_model_versions, audit_log</t>
  </si>
  <si>
    <t xml:space="preserve">log_trace</t>
  </si>
  <si>
    <t xml:space="preserve">Publish rejected if any weight/threshold is null or weights do not sum to 1.0; published version immutable</t>
  </si>
  <si>
    <t xml:space="preserve">Domain experts must supply weights and thresholds</t>
  </si>
  <si>
    <t xml:space="preserve">US-035</t>
  </si>
  <si>
    <t xml:space="preserve">Manage product mappings and ambiguous matches</t>
  </si>
  <si>
    <t xml:space="preserve">admin + catalog</t>
  </si>
  <si>
    <t xml:space="preserve">GET /api/v1/admin/mappings/queue
POST /api/v1/admin/mappings/{item_id}/resolve</t>
  </si>
  <si>
    <t xml:space="preserve">product_mappings, match_candidates, audit_log</t>
  </si>
  <si>
    <t xml:space="preserve">Versioned mapping change; split reassigns evaluations correctly</t>
  </si>
  <si>
    <t xml:space="preserve">US-036</t>
  </si>
  <si>
    <t xml:space="preserve">Protect and manage evidence</t>
  </si>
  <si>
    <t xml:space="preserve">evidence + admin</t>
  </si>
  <si>
    <t xml:space="preserve">Architecture §3.6</t>
  </si>
  <si>
    <t xml:space="preserve">POST /api/v1/evidence
POST /api/v1/evidence/{evidence_id}/versions</t>
  </si>
  <si>
    <t xml:space="preserve">evidence, evidence_versions, evidence_documents</t>
  </si>
  <si>
    <t xml:space="preserve">check_upload_safety, attach_trust_tier</t>
  </si>
  <si>
    <t xml:space="preserve">SEQUENCE §2</t>
  </si>
  <si>
    <t xml:space="preserve">Disguised executable rejected; replacing evidence keeps the old version</t>
  </si>
  <si>
    <t xml:space="preserve">US-037</t>
  </si>
  <si>
    <t xml:space="preserve">Audit log of material changes</t>
  </si>
  <si>
    <t xml:space="preserve">admin</t>
  </si>
  <si>
    <t xml:space="preserve">Architecture §3.17; DATA_MODEL §3</t>
  </si>
  <si>
    <t xml:space="preserve">GET /api/v1/admin/audit-log</t>
  </si>
  <si>
    <t xml:space="preserve">audit_log, ai_runs</t>
  </si>
  <si>
    <t xml:space="preserve">App role has INSERT only; failed actions also recorded</t>
  </si>
  <si>
    <t xml:space="preserve">US-006</t>
  </si>
  <si>
    <t xml:space="preserve">View product page with separated trust outputs</t>
  </si>
  <si>
    <t xml:space="preserve">Phase 2</t>
  </si>
  <si>
    <t xml:space="preserve">S4-S7</t>
  </si>
  <si>
    <t xml:space="preserve">evaluation + community + expert (read)</t>
  </si>
  <si>
    <t xml:space="preserve">Architecture §3.1, §3.7; AGENTS §10</t>
  </si>
  <si>
    <t xml:space="preserve">GET /api/v1/variants/{variant_id}</t>
  </si>
  <si>
    <t xml:space="preserve">evaluations, feedback, expert_assessments, offers</t>
  </si>
  <si>
    <t xml:space="preserve">Response Assembler</t>
  </si>
  <si>
    <t xml:space="preserve">Contract test: three outputs separate; no blended score field exists</t>
  </si>
  <si>
    <t xml:space="preserve">US-008</t>
  </si>
  <si>
    <t xml:space="preserve">Deterministic category-based evaluation</t>
  </si>
  <si>
    <t xml:space="preserve">evaluation</t>
  </si>
  <si>
    <t xml:space="preserve">Architecture §3.7; ADR-0003, ADR-0004; EVALUATION_MODEL_SPECS</t>
  </si>
  <si>
    <t xml:space="preserve">GET /api/v1/variants/{variant_id}/evaluation</t>
  </si>
  <si>
    <t xml:space="preserve">evaluation_model_versions, evaluations, parameter_results</t>
  </si>
  <si>
    <t xml:space="preserve">score_parameter, resolve_evidence_conflict, renormalize_weights, compute_confidence, aggregate_evaluation</t>
  </si>
  <si>
    <t xml:space="preserve">Golden determinism gate in CI; same score across extension/web/API</t>
  </si>
  <si>
    <t xml:space="preserve">Needs decision on `value` (ADR-0005) and approved models</t>
  </si>
  <si>
    <t xml:space="preserve">US-009</t>
  </si>
  <si>
    <t xml:space="preserve">View Review Master score and parameter scores</t>
  </si>
  <si>
    <t xml:space="preserve">Architecture §3.7, §4 (cache)</t>
  </si>
  <si>
    <t xml:space="preserve">evaluations, parameter_results</t>
  </si>
  <si>
    <t xml:space="preserve">cache_lookup, compute_value_signal</t>
  </si>
  <si>
    <t xml:space="preserve">Performance test: cached retrieval about &lt;= 2 s (NFR)</t>
  </si>
  <si>
    <t xml:space="preserve">US-010</t>
  </si>
  <si>
    <t xml:space="preserve">View confidence level separate from score</t>
  </si>
  <si>
    <t xml:space="preserve">Architecture §3.7 rules 6-10</t>
  </si>
  <si>
    <t xml:space="preserve">evaluations</t>
  </si>
  <si>
    <t xml:space="preserve">compute_confidence, compute_freshness</t>
  </si>
  <si>
    <t xml:space="preserve">Golden fixtures: thin evidence, missing critical parameter, coverage floor</t>
  </si>
  <si>
    <t xml:space="preserve">Thresholds are heuristics to calibrate</t>
  </si>
  <si>
    <t xml:space="preserve">US-011</t>
  </si>
  <si>
    <t xml:space="preserve">Inspect evidence and its provenance</t>
  </si>
  <si>
    <t xml:space="preserve">evidence</t>
  </si>
  <si>
    <t xml:space="preserve">GET /api/v1/evidence/{evidence_id}
GET /api/v1/evidence/{evidence_id}/versions</t>
  </si>
  <si>
    <t xml:space="preserve">attach_trust_tier, classify_source_label</t>
  </si>
  <si>
    <t xml:space="preserve">Unit: a manufacturer source can never get an 'independent test' label; permission test on private evidence</t>
  </si>
  <si>
    <t xml:space="preserve">US-013</t>
  </si>
  <si>
    <t xml:space="preserve">View evaluation history</t>
  </si>
  <si>
    <t xml:space="preserve">Should Have</t>
  </si>
  <si>
    <t xml:space="preserve">Architecture §3.7 (versioning); ADR-0004</t>
  </si>
  <si>
    <t xml:space="preserve">GET /api/v1/variants/{variant_id}/evaluation/history</t>
  </si>
  <si>
    <t xml:space="preserve">DB test: no UPDATE/DELETE on evaluations for the app role</t>
  </si>
  <si>
    <t xml:space="preserve">US-001</t>
  </si>
  <si>
    <t xml:space="preserve">Detect product on supported marketplace page</t>
  </si>
  <si>
    <t xml:space="preserve">Phase 3</t>
  </si>
  <si>
    <t xml:space="preserve">S6-S10</t>
  </si>
  <si>
    <t xml:space="preserve">Extension + catalog</t>
  </si>
  <si>
    <t xml:space="preserve">CLIENTS_EVENTS_RELIABILITY §1; Architecture §3.1, §3.4</t>
  </si>
  <si>
    <t xml:space="preserve">listings, proposed_attributes</t>
  </si>
  <si>
    <t xml:space="preserve">match_product, Product Extraction Agent</t>
  </si>
  <si>
    <t xml:space="preserve">Playwright extension suite (supported/unsupported/API down/ambiguous); manifest permission gate in CI</t>
  </si>
  <si>
    <t xml:space="preserve">Blocked by decision #1 (V1 marketplace)</t>
  </si>
  <si>
    <t xml:space="preserve">US-018</t>
  </si>
  <si>
    <t xml:space="preserve">Compare products side by side</t>
  </si>
  <si>
    <t xml:space="preserve">comparison</t>
  </si>
  <si>
    <t xml:space="preserve">Architecture §3.11</t>
  </si>
  <si>
    <t xml:space="preserve">POST /api/v1/comparisons</t>
  </si>
  <si>
    <t xml:space="preserve">comparisons</t>
  </si>
  <si>
    <t xml:space="preserve">build_comparison_matrix</t>
  </si>
  <si>
    <t xml:space="preserve">Cross-category blocked; insufficient-evidence product shown, not ranked as zero</t>
  </si>
  <si>
    <t xml:space="preserve">US-020</t>
  </si>
  <si>
    <t xml:space="preserve">Discover alternatives</t>
  </si>
  <si>
    <t xml:space="preserve">GET /api/v1/variants/{variant_id}/alternatives</t>
  </si>
  <si>
    <t xml:space="preserve">variants, evaluations</t>
  </si>
  <si>
    <t xml:space="preserve">Eligible-only alternatives; low-confidence flagged</t>
  </si>
  <si>
    <t xml:space="preserve">US-021</t>
  </si>
  <si>
    <t xml:space="preserve">Enter requirements in natural language</t>
  </si>
  <si>
    <t xml:space="preserve">recommendation + ai</t>
  </si>
  <si>
    <t xml:space="preserve">Architecture §3.10; AGENTS §2</t>
  </si>
  <si>
    <t xml:space="preserve">POST /api/v1/recommendations/requirements</t>
  </si>
  <si>
    <t xml:space="preserve">ai_runs</t>
  </si>
  <si>
    <t xml:space="preserve">Requirement Extraction Agent, validate_requirements_schema, sanitize_untrusted_text</t>
  </si>
  <si>
    <t xml:space="preserve">SEQUENCE §3</t>
  </si>
  <si>
    <t xml:space="preserve">Schema validation, ambiguous budget asks user, injection ignored</t>
  </si>
  <si>
    <t xml:space="preserve">US-022</t>
  </si>
  <si>
    <t xml:space="preserve">Apply hard constraints before ranking</t>
  </si>
  <si>
    <t xml:space="preserve">recommendation</t>
  </si>
  <si>
    <t xml:space="preserve">Architecture §3.10 rules 1, 3</t>
  </si>
  <si>
    <t xml:space="preserve">POST /api/v1/recommendations</t>
  </si>
  <si>
    <t xml:space="preserve">recommendations</t>
  </si>
  <si>
    <t xml:space="preserve">apply_hard_constraints, suggest_constraint_relaxation</t>
  </si>
  <si>
    <t xml:space="preserve">Over-budget 9.2-scored product is excluded; empty result gives relaxation hint</t>
  </si>
  <si>
    <t xml:space="preserve">US-023</t>
  </si>
  <si>
    <t xml:space="preserve">Personalized recommendations with explanation</t>
  </si>
  <si>
    <t xml:space="preserve">Architecture §3.10; AGENTS §8</t>
  </si>
  <si>
    <t xml:space="preserve">recommendations, ai_runs</t>
  </si>
  <si>
    <t xml:space="preserve">rank_candidates, Recommendation Explanation Agent, validate_grounding, emit_event</t>
  </si>
  <si>
    <t xml:space="preserve">Determinism of ranking; explanation cites only ranking fields</t>
  </si>
  <si>
    <t xml:space="preserve">Ranking factors are heuristics</t>
  </si>
  <si>
    <t xml:space="preserve">US-007</t>
  </si>
  <si>
    <t xml:space="preserve">Save products</t>
  </si>
  <si>
    <t xml:space="preserve">user_space</t>
  </si>
  <si>
    <t xml:space="preserve">DATA_MODEL §1.8</t>
  </si>
  <si>
    <t xml:space="preserve">GET /api/v1/saved-products
POST /api/v1/saved-products
DELETE /api/v1/saved-products/{saved_id}</t>
  </si>
  <si>
    <t xml:space="preserve">saved_products</t>
  </si>
  <si>
    <t xml:space="preserve">emit_event</t>
  </si>
  <si>
    <t xml:space="preserve">Integration + RLS: user cannot read another user's saved list</t>
  </si>
  <si>
    <t xml:space="preserve">US-012</t>
  </si>
  <si>
    <t xml:space="preserve">AI explanation of an evaluation</t>
  </si>
  <si>
    <t xml:space="preserve">ai</t>
  </si>
  <si>
    <t xml:space="preserve">Architecture §3.13; AGENTS §6</t>
  </si>
  <si>
    <t xml:space="preserve">POST /api/v1/evaluations/{evaluation_id}/explanation</t>
  </si>
  <si>
    <t xml:space="preserve">Evaluation Explanation Agent, validate_grounding, sanitize_untrusted_text</t>
  </si>
  <si>
    <t xml:space="preserve">AI contract tests: grounding, injection, empty input, template fallback</t>
  </si>
  <si>
    <t xml:space="preserve">US-019</t>
  </si>
  <si>
    <t xml:space="preserve">AI comparison summary</t>
  </si>
  <si>
    <t xml:space="preserve">AGENTS §7</t>
  </si>
  <si>
    <t xml:space="preserve">Comparison Summary Agent, validate_grounding</t>
  </si>
  <si>
    <t xml:space="preserve">AI contract: only comparison payload data; no blended verdict</t>
  </si>
  <si>
    <t xml:space="preserve">Summary is the `summary` field of the comparison response</t>
  </si>
  <si>
    <t xml:space="preserve">US-024</t>
  </si>
  <si>
    <t xml:space="preserve">Manage my preferences</t>
  </si>
  <si>
    <t xml:space="preserve">GET /api/v1/preferences
PUT /api/v1/preferences</t>
  </si>
  <si>
    <t xml:space="preserve">user_preferences</t>
  </si>
  <si>
    <t xml:space="preserve">Validation + privacy (own data only)</t>
  </si>
  <si>
    <t xml:space="preserve">US-014</t>
  </si>
  <si>
    <t xml:space="preserve">Submit structured feedback</t>
  </si>
  <si>
    <t xml:space="preserve">Public Reviewer</t>
  </si>
  <si>
    <t xml:space="preserve">Phase 4</t>
  </si>
  <si>
    <t xml:space="preserve">S9-S12</t>
  </si>
  <si>
    <t xml:space="preserve">community</t>
  </si>
  <si>
    <t xml:space="preserve">Architecture §3.8</t>
  </si>
  <si>
    <t xml:space="preserve">POST /api/v1/variants/{variant_id}/feedback</t>
  </si>
  <si>
    <t xml:space="preserve">feedback</t>
  </si>
  <si>
    <t xml:space="preserve">rate_limit_check</t>
  </si>
  <si>
    <t xml:space="preserve">Integration: guest blocked, pending-until-moderated, own-edit only</t>
  </si>
  <si>
    <t xml:space="preserve">US-015</t>
  </si>
  <si>
    <t xml:space="preserve">View community insights</t>
  </si>
  <si>
    <t xml:space="preserve">community + ai</t>
  </si>
  <si>
    <t xml:space="preserve">Architecture §3.8; AGENTS §5</t>
  </si>
  <si>
    <t xml:space="preserve">GET /api/v1/variants/{variant_id}/community</t>
  </si>
  <si>
    <t xml:space="preserve">review_analysis, feedback</t>
  </si>
  <si>
    <t xml:space="preserve">Feedback Intelligence Agent</t>
  </si>
  <si>
    <t xml:space="preserve">AI contract: every theme cites feedback_ids; community never changes the score</t>
  </si>
  <si>
    <t xml:space="preserve">US-017</t>
  </si>
  <si>
    <t xml:space="preserve">Moderate community feedback</t>
  </si>
  <si>
    <t xml:space="preserve">admin + community</t>
  </si>
  <si>
    <t xml:space="preserve">Architecture §3.8, §3.17</t>
  </si>
  <si>
    <t xml:space="preserve">GET /api/v1/admin/moderation/queue
POST /api/v1/admin/feedback/{feedback_id}/moderate</t>
  </si>
  <si>
    <t xml:space="preserve">moderation_actions, audit_log</t>
  </si>
  <si>
    <t xml:space="preserve">log_trace, emit_event</t>
  </si>
  <si>
    <t xml:space="preserve">Role test: non-admin denied; audit row per decision</t>
  </si>
  <si>
    <t xml:space="preserve">US-025</t>
  </si>
  <si>
    <t xml:space="preserve">View current offers</t>
  </si>
  <si>
    <t xml:space="preserve">pricing + adapters</t>
  </si>
  <si>
    <t xml:space="preserve">Architecture §3.12</t>
  </si>
  <si>
    <t xml:space="preserve">GET /api/v1/variants/{variant_id}/offers</t>
  </si>
  <si>
    <t xml:space="preserve">offers, listings</t>
  </si>
  <si>
    <t xml:space="preserve">compute_freshness</t>
  </si>
  <si>
    <t xml:space="preserve">SEQUENCE §6</t>
  </si>
  <si>
    <t xml:space="preserve">Stale-offer flag; permitted sources only (adapter fixtures)</t>
  </si>
  <si>
    <t xml:space="preserve">Needs decision #1 and data-licensing answer</t>
  </si>
  <si>
    <t xml:space="preserve">US-016</t>
  </si>
  <si>
    <t xml:space="preserve">Review-quality signals</t>
  </si>
  <si>
    <t xml:space="preserve">review_quality_signals</t>
  </si>
  <si>
    <t xml:space="preserve">detect_near_duplicates, detect_review_bursts, build_review_quality_signals</t>
  </si>
  <si>
    <t xml:space="preserve">Fixtures: burst of near-identical reviews flags; one harsh review does not; UI never says 'fake'</t>
  </si>
  <si>
    <t xml:space="preserve">US-026</t>
  </si>
  <si>
    <t xml:space="preserve">View price history</t>
  </si>
  <si>
    <t xml:space="preserve">pricing</t>
  </si>
  <si>
    <t xml:space="preserve">GET /api/v1/variants/{variant_id}/price-history</t>
  </si>
  <si>
    <t xml:space="preserve">price_records</t>
  </si>
  <si>
    <t xml:space="preserve">get_price_context, record_price_observation</t>
  </si>
  <si>
    <t xml:space="preserve">Coverage reported; no forecast returned</t>
  </si>
  <si>
    <t xml:space="preserve">Depends on permitted price data</t>
  </si>
  <si>
    <t xml:space="preserve">US-027</t>
  </si>
  <si>
    <t xml:space="preserve">Create price and target-price alerts</t>
  </si>
  <si>
    <t xml:space="preserve">pricing + notifications</t>
  </si>
  <si>
    <t xml:space="preserve">Architecture §3.12, §3.15</t>
  </si>
  <si>
    <t xml:space="preserve">GET /api/v1/price-alerts
POST /api/v1/price-alerts
DELETE /api/v1/price-alerts/{alert_id}</t>
  </si>
  <si>
    <t xml:space="preserve">price_alerts, notifications</t>
  </si>
  <si>
    <t xml:space="preserve">evaluate_price_alert, record_price_observation</t>
  </si>
  <si>
    <t xml:space="preserve">Cooldown and oscillation tests; alert off switch</t>
  </si>
  <si>
    <t xml:space="preserve">US-028</t>
  </si>
  <si>
    <t xml:space="preserve">Control notification types</t>
  </si>
  <si>
    <t xml:space="preserve">user_space + notifications</t>
  </si>
  <si>
    <t xml:space="preserve">Architecture §3.15</t>
  </si>
  <si>
    <t xml:space="preserve">GET /api/v1/notification-settings
PUT /api/v1/notification-settings</t>
  </si>
  <si>
    <t xml:space="preserve">notification_settings, notifications</t>
  </si>
  <si>
    <t xml:space="preserve">Disabled channel sends nothing; throttling/grouping</t>
  </si>
  <si>
    <t xml:space="preserve">US-029</t>
  </si>
  <si>
    <t xml:space="preserve">Create investigation case from potential issue</t>
  </si>
  <si>
    <t xml:space="preserve">expert + admin</t>
  </si>
  <si>
    <t xml:space="preserve">Architecture §3.9</t>
  </si>
  <si>
    <t xml:space="preserve">POST /api/v1/expert-cases</t>
  </si>
  <si>
    <t xml:space="preserve">expert_cases, audit_log</t>
  </si>
  <si>
    <t xml:space="preserve">SEQUENCE §4</t>
  </si>
  <si>
    <t xml:space="preserve">Workflow tests; duplicate-case warning</t>
  </si>
  <si>
    <t xml:space="preserve">Expert workflow V1 vs V2 (decision #3)</t>
  </si>
  <si>
    <t xml:space="preserve">US-030</t>
  </si>
  <si>
    <t xml:space="preserve">Assign expert with conflict-of-interest check</t>
  </si>
  <si>
    <t xml:space="preserve">POST /api/v1/expert-cases/{case_id}/assign</t>
  </si>
  <si>
    <t xml:space="preserve">experts, expert_assignments, coi_declarations</t>
  </si>
  <si>
    <t xml:space="preserve">check_permission</t>
  </si>
  <si>
    <t xml:space="preserve">Conflict blocks assignment; decline returns case to pool</t>
  </si>
  <si>
    <t xml:space="preserve">Decision #3</t>
  </si>
  <si>
    <t xml:space="preserve">US-031</t>
  </si>
  <si>
    <t xml:space="preserve">Submit expert assessment with proof</t>
  </si>
  <si>
    <t xml:space="preserve">Expert Reviewer</t>
  </si>
  <si>
    <t xml:space="preserve">expert + evidence</t>
  </si>
  <si>
    <t xml:space="preserve">POST /api/v1/expert-cases/{case_id}/assessments</t>
  </si>
  <si>
    <t xml:space="preserve">expert_assessments, evidence_documents</t>
  </si>
  <si>
    <t xml:space="preserve">check_upload_safety</t>
  </si>
  <si>
    <t xml:space="preserve">Own-case only; malicious upload rejected; cannot change a published score</t>
  </si>
  <si>
    <t xml:space="preserve">US-032</t>
  </si>
  <si>
    <t xml:space="preserve">Quality review and publish expert assessment</t>
  </si>
  <si>
    <t xml:space="preserve">expert + evaluation</t>
  </si>
  <si>
    <t xml:space="preserve">POST /api/v1/expert-assessments/{assessment_id}/review</t>
  </si>
  <si>
    <t xml:space="preserve">expert_assessments, evidence_versions, evaluations</t>
  </si>
  <si>
    <t xml:space="preserve">attach_trust_tier, aggregate_evaluation, emit_event</t>
  </si>
  <si>
    <t xml:space="preserve">Author cannot approve; approval creates tier-1 evidence and a new evaluation row</t>
  </si>
  <si>
    <t xml:space="preserve">US-038</t>
  </si>
  <si>
    <t xml:space="preserve">Monitor integrations and system health</t>
  </si>
  <si>
    <t xml:space="preserve">admin + catalog (adapters)</t>
  </si>
  <si>
    <t xml:space="preserve">ARCHITECTURE_VIEWS §6</t>
  </si>
  <si>
    <t xml:space="preserve">GET /api/v1/admin/integrations</t>
  </si>
  <si>
    <t xml:space="preserve">integrations, jobs</t>
  </si>
  <si>
    <t xml:space="preserve">Simulated adapter failure raises integration.error and shows on the dashboard</t>
  </si>
  <si>
    <t xml:space="preserve">US-039</t>
  </si>
  <si>
    <t xml:space="preserve">Keep commercial relationships out of scoring</t>
  </si>
  <si>
    <t xml:space="preserve">Phase 5</t>
  </si>
  <si>
    <t xml:space="preserve">S11-S13</t>
  </si>
  <si>
    <t xml:space="preserve">all (negative requirement)</t>
  </si>
  <si>
    <t xml:space="preserve">SECURITY §2-3 (threat 7); ADR-0003</t>
  </si>
  <si>
    <t xml:space="preserve">None (negative requirement)</t>
  </si>
  <si>
    <t xml:space="preserve">audit_log</t>
  </si>
  <si>
    <t xml:space="preserve">No endpoint accepts a score; brand/API-key attempts denied; affiliate flag has no effect on output</t>
  </si>
  <si>
    <t xml:space="preserve">Enforced by the absence of a write path plus RBAC tests</t>
  </si>
  <si>
    <t xml:space="preserve">US-040</t>
  </si>
  <si>
    <t xml:space="preserve">Access versioned secure APIs</t>
  </si>
  <si>
    <t xml:space="preserve">Developer / API Consumer</t>
  </si>
  <si>
    <t xml:space="preserve">API layer + auth</t>
  </si>
  <si>
    <t xml:space="preserve">Architecture §3.2, §3.16</t>
  </si>
  <si>
    <t xml:space="preserve">GET /api/v1/api-keys
POST /api/v1/api-keys
DELETE /api/v1/api-keys/{key_id}</t>
  </si>
  <si>
    <t xml:space="preserve">api_keys, usage_events</t>
  </si>
  <si>
    <t xml:space="preserve">generate_api_key, verify_api_key, rate_limit_check, meter_usage</t>
  </si>
  <si>
    <t xml:space="preserve">401/403/429 matrix; idempotency-key replay; key scope, expiry, revocation</t>
  </si>
  <si>
    <t xml:space="preserve">US-041</t>
  </si>
  <si>
    <t xml:space="preserve">Receive signed webhooks for events</t>
  </si>
  <si>
    <t xml:space="preserve">events</t>
  </si>
  <si>
    <t xml:space="preserve">CLIENTS_EVENTS_RELIABILITY §4</t>
  </si>
  <si>
    <t xml:space="preserve">GET /api/v1/webhooks
POST /api/v1/webhooks
DELETE /api/v1/webhooks/{webhook_id}
GET /api/v1/webhooks/{webhook_id}/deliveries
POST /api/v1/webhooks/{webhook_id}/deliveries/{delivery_id}/replay</t>
  </si>
  <si>
    <t xml:space="preserve">webhooks, webhook_deliveries, event_outbox</t>
  </si>
  <si>
    <t xml:space="preserve">emit_event, sign_webhook</t>
  </si>
  <si>
    <t xml:space="preserve">Signature verification, tamper, retry/backoff, replay</t>
  </si>
  <si>
    <t xml:space="preserve">Webhook scope still open</t>
  </si>
  <si>
    <t xml:space="preserve">V2</t>
  </si>
  <si>
    <t xml:space="preserve">US-042</t>
  </si>
  <si>
    <t xml:space="preserve">Conversational product Q&amp;A</t>
  </si>
  <si>
    <t xml:space="preserve">after pilot</t>
  </si>
  <si>
    <t xml:space="preserve">ai (chat)</t>
  </si>
  <si>
    <t xml:space="preserve">Architecture §3.13; AGENTS §9</t>
  </si>
  <si>
    <t xml:space="preserve">POST /api/v1/chat/messages</t>
  </si>
  <si>
    <t xml:space="preserve">Conversational Q&amp;A Agent, Orchestrator, validate_grounding, check_permission</t>
  </si>
  <si>
    <t xml:space="preserve">Tool permission, confirmation for write tools, injection, empty tool results</t>
  </si>
  <si>
    <t xml:space="preserve">US-043</t>
  </si>
  <si>
    <t xml:space="preserve">Buy / track / wait guidance</t>
  </si>
  <si>
    <t xml:space="preserve">Planned - not in skeleton</t>
  </si>
  <si>
    <t xml:space="preserve">buy_track_wait_guidance, get_price_context</t>
  </si>
  <si>
    <t xml:space="preserve">Rule-based cases incl. sparse data</t>
  </si>
  <si>
    <t xml:space="preserve">Endpoint to be specified in V2</t>
  </si>
  <si>
    <t xml:space="preserve">US-044</t>
  </si>
  <si>
    <t xml:space="preserve">Add an authorized marketplace adapter</t>
  </si>
  <si>
    <t xml:space="preserve">catalog + admin (adapters)</t>
  </si>
  <si>
    <t xml:space="preserve">Architecture §3.4; ARCHITECTURE_VIEWS §5</t>
  </si>
  <si>
    <t xml:space="preserve">marketplaces, integrations</t>
  </si>
  <si>
    <t xml:space="preserve">Second adapter leaves canonical evaluation unchanged</t>
  </si>
  <si>
    <t xml:space="preserve">US-048</t>
  </si>
  <si>
    <t xml:space="preserve">Product-intelligence commercial API</t>
  </si>
  <si>
    <t xml:space="preserve">Architecture §3.16</t>
  </si>
  <si>
    <t xml:space="preserve">GET /api/v1/api-keys</t>
  </si>
  <si>
    <t xml:space="preserve">api_keys, usage_events, organizations</t>
  </si>
  <si>
    <t xml:space="preserve">meter_usage, rate_limit_check</t>
  </si>
  <si>
    <t xml:space="preserve">Tenant isolation, plan limits</t>
  </si>
  <si>
    <t xml:space="preserve">Plans/billing endpoints planned (decision #7)</t>
  </si>
  <si>
    <t xml:space="preserve">US-045</t>
  </si>
  <si>
    <t xml:space="preserve">Mobile app: share URL and compare</t>
  </si>
  <si>
    <t xml:space="preserve">Could Have</t>
  </si>
  <si>
    <t xml:space="preserve">mobile client</t>
  </si>
  <si>
    <t xml:space="preserve">CLIENTS_EVENTS_RELIABILITY §3</t>
  </si>
  <si>
    <t xml:space="preserve">Reuses V1 endpoints</t>
  </si>
  <si>
    <t xml:space="preserve">Share-URL flow; no private data of other apps</t>
  </si>
  <si>
    <t xml:space="preserve">Framework decision at V2 start</t>
  </si>
  <si>
    <t xml:space="preserve">US-046</t>
  </si>
  <si>
    <t xml:space="preserve">Post-purchase feedback with purchase verification</t>
  </si>
  <si>
    <t xml:space="preserve">Architecture §3.12 (click vs purchase)</t>
  </si>
  <si>
    <t xml:space="preserve">Click is not a purchase; receipt privacy</t>
  </si>
  <si>
    <t xml:space="preserve">US-047</t>
  </si>
  <si>
    <t xml:space="preserve">Brand profile and evidence submission</t>
  </si>
  <si>
    <t xml:space="preserve">Brand / Manufacturer</t>
  </si>
  <si>
    <t xml:space="preserve">admin + evidence (brand)</t>
  </si>
  <si>
    <t xml:space="preserve">attach_trust_tier</t>
  </si>
  <si>
    <t xml:space="preserve">Brand cannot edit scores; evidence labelled manufacturer-published</t>
  </si>
  <si>
    <t xml:space="preserve">US-049</t>
  </si>
  <si>
    <t xml:space="preserve">Retrieve answers from approved documents (RAG)</t>
  </si>
  <si>
    <t xml:space="preserve">ai (RAG)</t>
  </si>
  <si>
    <t xml:space="preserve">Architecture §3.14; ADR-0015</t>
  </si>
  <si>
    <t xml:space="preserve">POST /api/v1/evidence</t>
  </si>
  <si>
    <t xml:space="preserve">evidence_documents</t>
  </si>
  <si>
    <t xml:space="preserve">semantic_search, apply_trust_weighting, check_upload_safety</t>
  </si>
  <si>
    <t xml:space="preserve">Only approved documents retrieved; empty result valid; never feeds scoring</t>
  </si>
  <si>
    <t xml:space="preserve">Ingestion endpoint to be specified in V2</t>
  </si>
  <si>
    <t xml:space="preserve">V3</t>
  </si>
  <si>
    <t xml:space="preserve">US-050</t>
  </si>
  <si>
    <t xml:space="preserve">Context-aware questions via context graph</t>
  </si>
  <si>
    <t xml:space="preserve">after V2</t>
  </si>
  <si>
    <t xml:space="preserve">ai (context graph)</t>
  </si>
  <si>
    <t xml:space="preserve">Architecture §5 (Neo4j profile)</t>
  </si>
  <si>
    <t xml:space="preserve">graph_lookup</t>
  </si>
  <si>
    <t xml:space="preserve">User-scoped graph queries</t>
  </si>
  <si>
    <t xml:space="preserve">US-051</t>
  </si>
  <si>
    <t xml:space="preserve">Predictive price and quality-change detection</t>
  </si>
  <si>
    <t xml:space="preserve">pricing + evaluation</t>
  </si>
  <si>
    <t xml:space="preserve">price_records, evaluations</t>
  </si>
  <si>
    <t xml:space="preserve">Estimates labelled; no strong prediction on weak data</t>
  </si>
  <si>
    <t xml:space="preserve">US-052</t>
  </si>
  <si>
    <t xml:space="preserve">Household / multi-user shopping</t>
  </si>
  <si>
    <t xml:space="preserve">Architecture §9</t>
  </si>
  <si>
    <t xml:space="preserve">Shared list vs private preferences</t>
  </si>
  <si>
    <t xml:space="preserve">US-053</t>
  </si>
  <si>
    <t xml:space="preserve">Add a new domain evaluation model (restaurants, hotels, services)</t>
  </si>
  <si>
    <t xml:space="preserve">Architecture §6 (entity_id); EVALUATION_MODEL_SPECS</t>
  </si>
  <si>
    <t xml:space="preserve">POST /api/v1/admin/evaluation-models</t>
  </si>
  <si>
    <t xml:space="preserve">products, evaluation_models</t>
  </si>
  <si>
    <t xml:space="preserve">Restaurant v1 model evaluates end to end without core changes</t>
  </si>
  <si>
    <t xml:space="preserve">Uses the reserved entity_id</t>
  </si>
  <si>
    <t xml:space="preserve">Coverage summary (formulas over the Traceability sheet)</t>
  </si>
  <si>
    <t xml:space="preserve">Stories by phase and priority</t>
  </si>
  <si>
    <t xml:space="preserve">Must</t>
  </si>
  <si>
    <t xml:space="preserve">Should</t>
  </si>
  <si>
    <t xml:space="preserve">Could</t>
  </si>
  <si>
    <t xml:space="preserve">Total</t>
  </si>
  <si>
    <t xml:space="preserve">Stories by status</t>
  </si>
  <si>
    <t xml:space="preserve">Count</t>
  </si>
  <si>
    <t xml:space="preserve">Ready for Development</t>
  </si>
  <si>
    <t xml:space="preserve">In Development</t>
  </si>
  <si>
    <t xml:space="preserve">Ready for QA</t>
  </si>
  <si>
    <t xml:space="preserve">Done</t>
  </si>
  <si>
    <t xml:space="preserve">Blocked</t>
  </si>
  <si>
    <t xml:space="preserve">Mapping completeness checks</t>
  </si>
  <si>
    <t xml:space="preserve">Check</t>
  </si>
  <si>
    <t xml:space="preserve">Value</t>
  </si>
  <si>
    <t xml:space="preserve">Stories mapped</t>
  </si>
  <si>
    <t xml:space="preserve">Stories with endpoints in the API skeleton</t>
  </si>
  <si>
    <t xml:space="preserve">Stories whose endpoint is planned (not yet specified)</t>
  </si>
  <si>
    <t xml:space="preserve">Stories reusing V1 endpoints</t>
  </si>
  <si>
    <t xml:space="preserve">Negative requirements (no endpoint)</t>
  </si>
  <si>
    <t xml:space="preserve">Check: categories add up to stories mapped</t>
  </si>
  <si>
    <t xml:space="preserve">Source: story data from Review_Master_User_Stories.xlsx; mapping built from the architecture package. Phase and sprint columns come from DELIVERY_PLAN.md.</t>
  </si>
  <si>
    <t xml:space="preserve">API endpoint -&gt; stories (generated from the mapping at build time)</t>
  </si>
  <si>
    <t xml:space="preserve">Method</t>
  </si>
  <si>
    <t xml:space="preserve">Path</t>
  </si>
  <si>
    <t xml:space="preserve">Stories</t>
  </si>
  <si>
    <t xml:space="preserve">Note</t>
  </si>
  <si>
    <t xml:space="preserve">GET</t>
  </si>
  <si>
    <t xml:space="preserve">/api/v1/admin/audit-log</t>
  </si>
  <si>
    <t xml:space="preserve">POST</t>
  </si>
  <si>
    <t xml:space="preserve">/api/v1/admin/evaluation-model-versions/{version_id}/publish</t>
  </si>
  <si>
    <t xml:space="preserve">/api/v1/admin/evaluation-models</t>
  </si>
  <si>
    <t xml:space="preserve">/api/v1/admin/evaluation-models/{model_id}</t>
  </si>
  <si>
    <t xml:space="preserve">/api/v1/admin/evaluation-models/{model_id}/versions</t>
  </si>
  <si>
    <t xml:space="preserve">/api/v1/admin/feedback/{feedback_id}/moderate</t>
  </si>
  <si>
    <t xml:space="preserve">/api/v1/admin/integrations</t>
  </si>
  <si>
    <t xml:space="preserve">/api/v1/admin/mappings/queue</t>
  </si>
  <si>
    <t xml:space="preserve">/api/v1/admin/mappings/{item_id}/resolve</t>
  </si>
  <si>
    <t xml:space="preserve">/api/v1/admin/moderation/queue</t>
  </si>
  <si>
    <t xml:space="preserve">/api/v1/admin/users</t>
  </si>
  <si>
    <t xml:space="preserve">PUT</t>
  </si>
  <si>
    <t xml:space="preserve">/api/v1/admin/users/{user_id}/roles</t>
  </si>
  <si>
    <t xml:space="preserve">/api/v1/api-keys</t>
  </si>
  <si>
    <t xml:space="preserve">US-040, US-048</t>
  </si>
  <si>
    <t xml:space="preserve">DELETE</t>
  </si>
  <si>
    <t xml:space="preserve">/api/v1/api-keys/{key_id}</t>
  </si>
  <si>
    <t xml:space="preserve">/api/v1/auth/login</t>
  </si>
  <si>
    <t xml:space="preserve">Sign-up/login/session: no explicit user story (see gap G1)</t>
  </si>
  <si>
    <t xml:space="preserve">/api/v1/auth/logout</t>
  </si>
  <si>
    <t xml:space="preserve">/api/v1/auth/refresh</t>
  </si>
  <si>
    <t xml:space="preserve">/api/v1/auth/signup</t>
  </si>
  <si>
    <t xml:space="preserve">/api/v1/auth/verify-email</t>
  </si>
  <si>
    <t xml:space="preserve">/api/v1/chat/messages</t>
  </si>
  <si>
    <t xml:space="preserve">/api/v1/comparisons</t>
  </si>
  <si>
    <t xml:space="preserve">US-018, US-019</t>
  </si>
  <si>
    <t xml:space="preserve">/api/v1/evaluations/{evaluation_id}/explanation</t>
  </si>
  <si>
    <t xml:space="preserve">/api/v1/evidence</t>
  </si>
  <si>
    <t xml:space="preserve">US-036, US-049</t>
  </si>
  <si>
    <t xml:space="preserve">/api/v1/evidence/{evidence_id}</t>
  </si>
  <si>
    <t xml:space="preserve">/api/v1/evidence/{evidence_id}/versions</t>
  </si>
  <si>
    <t xml:space="preserve">/api/v1/expert-assessments/{assessment_id}/review</t>
  </si>
  <si>
    <t xml:space="preserve">/api/v1/expert-cases</t>
  </si>
  <si>
    <t xml:space="preserve">/api/v1/expert-cases/{case_id}/assessments</t>
  </si>
  <si>
    <t xml:space="preserve">/api/v1/expert-cases/{case_id}/assign</t>
  </si>
  <si>
    <t xml:space="preserve">/api/v1/notification-settings</t>
  </si>
  <si>
    <t xml:space="preserve">/api/v1/preferences</t>
  </si>
  <si>
    <t xml:space="preserve">/api/v1/price-alerts</t>
  </si>
  <si>
    <t xml:space="preserve">/api/v1/price-alerts/{alert_id}</t>
  </si>
  <si>
    <t xml:space="preserve">/api/v1/products</t>
  </si>
  <si>
    <t xml:space="preserve">/api/v1/products/corrections</t>
  </si>
  <si>
    <t xml:space="preserve">/api/v1/products/identify</t>
  </si>
  <si>
    <t xml:space="preserve">US-001, US-002</t>
  </si>
  <si>
    <t xml:space="preserve">/api/v1/products/{product_id}</t>
  </si>
  <si>
    <t xml:space="preserve">/api/v1/recommendations</t>
  </si>
  <si>
    <t xml:space="preserve">US-022, US-023</t>
  </si>
  <si>
    <t xml:space="preserve">/api/v1/recommendations/requirements</t>
  </si>
  <si>
    <t xml:space="preserve">/api/v1/saved-products</t>
  </si>
  <si>
    <t xml:space="preserve">/api/v1/saved-products/{saved_id}</t>
  </si>
  <si>
    <t xml:space="preserve">/api/v1/users/me</t>
  </si>
  <si>
    <t xml:space="preserve">/api/v1/variants/{variant_id}</t>
  </si>
  <si>
    <t xml:space="preserve">US-004, US-006</t>
  </si>
  <si>
    <t xml:space="preserve">/api/v1/variants/{variant_id}/alternatives</t>
  </si>
  <si>
    <t xml:space="preserve">/api/v1/variants/{variant_id}/community</t>
  </si>
  <si>
    <t xml:space="preserve">US-015, US-016</t>
  </si>
  <si>
    <t xml:space="preserve">/api/v1/variants/{variant_id}/evaluation</t>
  </si>
  <si>
    <t xml:space="preserve">US-008, US-009, US-010</t>
  </si>
  <si>
    <t xml:space="preserve">/api/v1/variants/{variant_id}/evaluation/history</t>
  </si>
  <si>
    <t xml:space="preserve">/api/v1/variants/{variant_id}/feedback</t>
  </si>
  <si>
    <t xml:space="preserve">/api/v1/variants/{variant_id}/offers</t>
  </si>
  <si>
    <t xml:space="preserve">/api/v1/variants/{variant_id}/price-history</t>
  </si>
  <si>
    <t xml:space="preserve">/api/v1/webhooks</t>
  </si>
  <si>
    <t xml:space="preserve">/api/v1/webhooks/{webhook_id}</t>
  </si>
  <si>
    <t xml:space="preserve">/api/v1/webhooks/{webhook_id}/deliveries</t>
  </si>
  <si>
    <t xml:space="preserve">/api/v1/webhooks/{webhook_id}/deliveries/{delivery_id}/replay</t>
  </si>
  <si>
    <t xml:space="preserve">/healthz</t>
  </si>
  <si>
    <t xml:space="preserve">Platform operation (probes), no user story</t>
  </si>
  <si>
    <t xml:space="preserve">/readyz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</si>
</sst>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20"/>
    <col collapsed="false" customWidth="true" hidden="false" outlineLevel="0" max="10" min="10" style="1" width="28"/>
    <col collapsed="false" customWidth="true" hidden="false" outlineLevel="0" max="11" min="11" style="1" width="46"/>
    <col collapsed="false" customWidth="true" hidden="false" outlineLevel="0" max="12" min="12" style="1" width="28"/>
    <col collapsed="false" customWidth="true" hidden="false" outlineLevel="0" max="13" min="13" style="1" width="36"/>
    <col collapsed="false" customWidth="true" hidden="false" outlineLevel="0" max="14" min="14" style="1" width="13"/>
    <col collapsed="false" customWidth="true" hidden="false" outlineLevel="0" max="15" min="15" style="1" width="42"/>
    <col collapsed="false" customWidth="true" hidden="false" outlineLevel="0" max="16" min="16" style="1" width="34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25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customFormat="false" ht="43.5" hidden="false" customHeight="true" outlineLevel="0" collapsed="false">
      <c r="A5" s="5" t="s">
        <v>18</v>
      </c>
      <c r="B5" s="6" t="s">
        <v>19</v>
      </c>
      <c r="C5" s="7" t="s">
        <v>20</v>
      </c>
      <c r="D5" s="8" t="s">
        <v>21</v>
      </c>
      <c r="E5" s="9" t="s">
        <v>22</v>
      </c>
      <c r="F5" s="8" t="s">
        <v>23</v>
      </c>
      <c r="G5" s="5" t="s">
        <v>24</v>
      </c>
      <c r="H5" s="5" t="s">
        <v>25</v>
      </c>
      <c r="I5" s="8" t="s">
        <v>26</v>
      </c>
      <c r="J5" s="8" t="s">
        <v>27</v>
      </c>
      <c r="K5" s="8" t="s">
        <v>28</v>
      </c>
      <c r="L5" s="8" t="s">
        <v>29</v>
      </c>
      <c r="M5" s="8" t="s">
        <v>30</v>
      </c>
      <c r="N5" s="8" t="s">
        <v>31</v>
      </c>
      <c r="O5" s="8" t="s">
        <v>32</v>
      </c>
      <c r="P5" s="8"/>
    </row>
    <row r="6" customFormat="false" ht="31.5" hidden="false" customHeight="true" outlineLevel="0" collapsed="false">
      <c r="A6" s="5" t="s">
        <v>18</v>
      </c>
      <c r="B6" s="6" t="s">
        <v>33</v>
      </c>
      <c r="C6" s="7" t="s">
        <v>34</v>
      </c>
      <c r="D6" s="8" t="s">
        <v>21</v>
      </c>
      <c r="E6" s="9" t="s">
        <v>22</v>
      </c>
      <c r="F6" s="8" t="s">
        <v>23</v>
      </c>
      <c r="G6" s="5" t="s">
        <v>24</v>
      </c>
      <c r="H6" s="5" t="s">
        <v>25</v>
      </c>
      <c r="I6" s="8" t="s">
        <v>35</v>
      </c>
      <c r="J6" s="8" t="s">
        <v>36</v>
      </c>
      <c r="K6" s="8" t="s">
        <v>37</v>
      </c>
      <c r="L6" s="8" t="s">
        <v>38</v>
      </c>
      <c r="M6" s="8" t="s">
        <v>39</v>
      </c>
      <c r="N6" s="8" t="s">
        <v>31</v>
      </c>
      <c r="O6" s="8" t="s">
        <v>40</v>
      </c>
      <c r="P6" s="8"/>
    </row>
    <row r="7" customFormat="false" ht="31.5" hidden="false" customHeight="true" outlineLevel="0" collapsed="false">
      <c r="A7" s="5" t="s">
        <v>18</v>
      </c>
      <c r="B7" s="6" t="s">
        <v>41</v>
      </c>
      <c r="C7" s="7" t="s">
        <v>42</v>
      </c>
      <c r="D7" s="8" t="s">
        <v>21</v>
      </c>
      <c r="E7" s="9" t="s">
        <v>22</v>
      </c>
      <c r="F7" s="8" t="s">
        <v>23</v>
      </c>
      <c r="G7" s="5" t="s">
        <v>24</v>
      </c>
      <c r="H7" s="5" t="s">
        <v>25</v>
      </c>
      <c r="I7" s="8" t="s">
        <v>43</v>
      </c>
      <c r="J7" s="8" t="s">
        <v>44</v>
      </c>
      <c r="K7" s="8" t="s">
        <v>45</v>
      </c>
      <c r="L7" s="8" t="s">
        <v>46</v>
      </c>
      <c r="M7" s="8" t="s">
        <v>47</v>
      </c>
      <c r="N7" s="8" t="s">
        <v>39</v>
      </c>
      <c r="O7" s="8" t="s">
        <v>48</v>
      </c>
      <c r="P7" s="8"/>
    </row>
    <row r="8" customFormat="false" ht="31.5" hidden="false" customHeight="true" outlineLevel="0" collapsed="false">
      <c r="A8" s="5" t="s">
        <v>18</v>
      </c>
      <c r="B8" s="6" t="s">
        <v>49</v>
      </c>
      <c r="C8" s="7" t="s">
        <v>50</v>
      </c>
      <c r="D8" s="8" t="s">
        <v>21</v>
      </c>
      <c r="E8" s="9" t="s">
        <v>22</v>
      </c>
      <c r="F8" s="8" t="s">
        <v>23</v>
      </c>
      <c r="G8" s="5" t="s">
        <v>24</v>
      </c>
      <c r="H8" s="5" t="s">
        <v>25</v>
      </c>
      <c r="I8" s="8" t="s">
        <v>26</v>
      </c>
      <c r="J8" s="8" t="s">
        <v>51</v>
      </c>
      <c r="K8" s="8" t="s">
        <v>52</v>
      </c>
      <c r="L8" s="8" t="s">
        <v>53</v>
      </c>
      <c r="M8" s="8" t="s">
        <v>39</v>
      </c>
      <c r="N8" s="8" t="s">
        <v>39</v>
      </c>
      <c r="O8" s="8" t="s">
        <v>54</v>
      </c>
      <c r="P8" s="8"/>
    </row>
    <row r="9" customFormat="false" ht="43.5" hidden="false" customHeight="true" outlineLevel="0" collapsed="false">
      <c r="A9" s="5" t="s">
        <v>18</v>
      </c>
      <c r="B9" s="6" t="s">
        <v>55</v>
      </c>
      <c r="C9" s="7" t="s">
        <v>56</v>
      </c>
      <c r="D9" s="8" t="s">
        <v>57</v>
      </c>
      <c r="E9" s="9" t="s">
        <v>22</v>
      </c>
      <c r="F9" s="8" t="s">
        <v>23</v>
      </c>
      <c r="G9" s="5" t="s">
        <v>24</v>
      </c>
      <c r="H9" s="5" t="s">
        <v>25</v>
      </c>
      <c r="I9" s="8" t="s">
        <v>58</v>
      </c>
      <c r="J9" s="8" t="s">
        <v>59</v>
      </c>
      <c r="K9" s="8" t="s">
        <v>60</v>
      </c>
      <c r="L9" s="8" t="s">
        <v>61</v>
      </c>
      <c r="M9" s="8" t="s">
        <v>62</v>
      </c>
      <c r="N9" s="8" t="s">
        <v>63</v>
      </c>
      <c r="O9" s="8" t="s">
        <v>64</v>
      </c>
      <c r="P9" s="8" t="s">
        <v>65</v>
      </c>
    </row>
    <row r="10" customFormat="false" ht="79.5" hidden="false" customHeight="true" outlineLevel="0" collapsed="false">
      <c r="A10" s="5" t="s">
        <v>18</v>
      </c>
      <c r="B10" s="6" t="s">
        <v>66</v>
      </c>
      <c r="C10" s="7" t="s">
        <v>67</v>
      </c>
      <c r="D10" s="8" t="s">
        <v>57</v>
      </c>
      <c r="E10" s="9" t="s">
        <v>22</v>
      </c>
      <c r="F10" s="8" t="s">
        <v>68</v>
      </c>
      <c r="G10" s="5" t="s">
        <v>24</v>
      </c>
      <c r="H10" s="5" t="s">
        <v>25</v>
      </c>
      <c r="I10" s="8" t="s">
        <v>69</v>
      </c>
      <c r="J10" s="8" t="s">
        <v>70</v>
      </c>
      <c r="K10" s="8" t="s">
        <v>71</v>
      </c>
      <c r="L10" s="8" t="s">
        <v>72</v>
      </c>
      <c r="M10" s="8" t="s">
        <v>73</v>
      </c>
      <c r="N10" s="8" t="s">
        <v>39</v>
      </c>
      <c r="O10" s="8" t="s">
        <v>74</v>
      </c>
      <c r="P10" s="8" t="s">
        <v>75</v>
      </c>
    </row>
    <row r="11" customFormat="false" ht="31.5" hidden="false" customHeight="true" outlineLevel="0" collapsed="false">
      <c r="A11" s="5" t="s">
        <v>18</v>
      </c>
      <c r="B11" s="6" t="s">
        <v>76</v>
      </c>
      <c r="C11" s="7" t="s">
        <v>77</v>
      </c>
      <c r="D11" s="8" t="s">
        <v>57</v>
      </c>
      <c r="E11" s="9" t="s">
        <v>22</v>
      </c>
      <c r="F11" s="8" t="s">
        <v>23</v>
      </c>
      <c r="G11" s="5" t="s">
        <v>24</v>
      </c>
      <c r="H11" s="5" t="s">
        <v>25</v>
      </c>
      <c r="I11" s="8" t="s">
        <v>78</v>
      </c>
      <c r="J11" s="8" t="s">
        <v>36</v>
      </c>
      <c r="K11" s="8" t="s">
        <v>79</v>
      </c>
      <c r="L11" s="8" t="s">
        <v>80</v>
      </c>
      <c r="M11" s="8" t="s">
        <v>73</v>
      </c>
      <c r="N11" s="8" t="s">
        <v>39</v>
      </c>
      <c r="O11" s="8" t="s">
        <v>81</v>
      </c>
      <c r="P11" s="8"/>
    </row>
    <row r="12" customFormat="false" ht="31.5" hidden="false" customHeight="true" outlineLevel="0" collapsed="false">
      <c r="A12" s="5" t="s">
        <v>18</v>
      </c>
      <c r="B12" s="6" t="s">
        <v>82</v>
      </c>
      <c r="C12" s="7" t="s">
        <v>83</v>
      </c>
      <c r="D12" s="8" t="s">
        <v>57</v>
      </c>
      <c r="E12" s="9" t="s">
        <v>22</v>
      </c>
      <c r="F12" s="8" t="s">
        <v>23</v>
      </c>
      <c r="G12" s="5" t="s">
        <v>24</v>
      </c>
      <c r="H12" s="5" t="s">
        <v>25</v>
      </c>
      <c r="I12" s="8" t="s">
        <v>84</v>
      </c>
      <c r="J12" s="8" t="s">
        <v>85</v>
      </c>
      <c r="K12" s="8" t="s">
        <v>86</v>
      </c>
      <c r="L12" s="8" t="s">
        <v>87</v>
      </c>
      <c r="M12" s="8" t="s">
        <v>88</v>
      </c>
      <c r="N12" s="8" t="s">
        <v>89</v>
      </c>
      <c r="O12" s="8" t="s">
        <v>90</v>
      </c>
      <c r="P12" s="8"/>
    </row>
    <row r="13" customFormat="false" ht="31.5" hidden="false" customHeight="true" outlineLevel="0" collapsed="false">
      <c r="A13" s="5" t="s">
        <v>18</v>
      </c>
      <c r="B13" s="6" t="s">
        <v>91</v>
      </c>
      <c r="C13" s="7" t="s">
        <v>92</v>
      </c>
      <c r="D13" s="8" t="s">
        <v>57</v>
      </c>
      <c r="E13" s="9" t="s">
        <v>22</v>
      </c>
      <c r="F13" s="8" t="s">
        <v>23</v>
      </c>
      <c r="G13" s="5" t="s">
        <v>24</v>
      </c>
      <c r="H13" s="5" t="s">
        <v>25</v>
      </c>
      <c r="I13" s="8" t="s">
        <v>93</v>
      </c>
      <c r="J13" s="8" t="s">
        <v>94</v>
      </c>
      <c r="K13" s="8" t="s">
        <v>95</v>
      </c>
      <c r="L13" s="8" t="s">
        <v>96</v>
      </c>
      <c r="M13" s="8" t="s">
        <v>73</v>
      </c>
      <c r="N13" s="8" t="s">
        <v>39</v>
      </c>
      <c r="O13" s="8" t="s">
        <v>97</v>
      </c>
      <c r="P13" s="8"/>
    </row>
    <row r="14" customFormat="false" ht="31.5" hidden="false" customHeight="true" outlineLevel="0" collapsed="false">
      <c r="A14" s="5" t="s">
        <v>18</v>
      </c>
      <c r="B14" s="6" t="s">
        <v>98</v>
      </c>
      <c r="C14" s="7" t="s">
        <v>99</v>
      </c>
      <c r="D14" s="8" t="s">
        <v>21</v>
      </c>
      <c r="E14" s="9" t="s">
        <v>22</v>
      </c>
      <c r="F14" s="8" t="s">
        <v>23</v>
      </c>
      <c r="G14" s="5" t="s">
        <v>100</v>
      </c>
      <c r="H14" s="5" t="s">
        <v>101</v>
      </c>
      <c r="I14" s="8" t="s">
        <v>102</v>
      </c>
      <c r="J14" s="8" t="s">
        <v>103</v>
      </c>
      <c r="K14" s="8" t="s">
        <v>104</v>
      </c>
      <c r="L14" s="8" t="s">
        <v>105</v>
      </c>
      <c r="M14" s="8" t="s">
        <v>106</v>
      </c>
      <c r="N14" s="8" t="s">
        <v>31</v>
      </c>
      <c r="O14" s="8" t="s">
        <v>107</v>
      </c>
      <c r="P14" s="8"/>
    </row>
    <row r="15" customFormat="false" ht="43.5" hidden="false" customHeight="true" outlineLevel="0" collapsed="false">
      <c r="A15" s="5" t="s">
        <v>18</v>
      </c>
      <c r="B15" s="6" t="s">
        <v>108</v>
      </c>
      <c r="C15" s="7" t="s">
        <v>109</v>
      </c>
      <c r="D15" s="8" t="s">
        <v>21</v>
      </c>
      <c r="E15" s="9" t="s">
        <v>22</v>
      </c>
      <c r="F15" s="8" t="s">
        <v>68</v>
      </c>
      <c r="G15" s="5" t="s">
        <v>100</v>
      </c>
      <c r="H15" s="5" t="s">
        <v>101</v>
      </c>
      <c r="I15" s="8" t="s">
        <v>110</v>
      </c>
      <c r="J15" s="8" t="s">
        <v>111</v>
      </c>
      <c r="K15" s="8" t="s">
        <v>112</v>
      </c>
      <c r="L15" s="8" t="s">
        <v>113</v>
      </c>
      <c r="M15" s="8" t="s">
        <v>114</v>
      </c>
      <c r="N15" s="8" t="s">
        <v>89</v>
      </c>
      <c r="O15" s="8" t="s">
        <v>115</v>
      </c>
      <c r="P15" s="8" t="s">
        <v>116</v>
      </c>
    </row>
    <row r="16" customFormat="false" ht="31.5" hidden="false" customHeight="true" outlineLevel="0" collapsed="false">
      <c r="A16" s="5" t="s">
        <v>18</v>
      </c>
      <c r="B16" s="6" t="s">
        <v>117</v>
      </c>
      <c r="C16" s="7" t="s">
        <v>118</v>
      </c>
      <c r="D16" s="8" t="s">
        <v>21</v>
      </c>
      <c r="E16" s="9" t="s">
        <v>22</v>
      </c>
      <c r="F16" s="8" t="s">
        <v>23</v>
      </c>
      <c r="G16" s="5" t="s">
        <v>100</v>
      </c>
      <c r="H16" s="5" t="s">
        <v>101</v>
      </c>
      <c r="I16" s="8" t="s">
        <v>110</v>
      </c>
      <c r="J16" s="8" t="s">
        <v>119</v>
      </c>
      <c r="K16" s="8" t="s">
        <v>112</v>
      </c>
      <c r="L16" s="8" t="s">
        <v>120</v>
      </c>
      <c r="M16" s="8" t="s">
        <v>121</v>
      </c>
      <c r="N16" s="8" t="s">
        <v>31</v>
      </c>
      <c r="O16" s="8" t="s">
        <v>122</v>
      </c>
      <c r="P16" s="8"/>
    </row>
    <row r="17" customFormat="false" ht="31.5" hidden="false" customHeight="true" outlineLevel="0" collapsed="false">
      <c r="A17" s="5" t="s">
        <v>18</v>
      </c>
      <c r="B17" s="6" t="s">
        <v>123</v>
      </c>
      <c r="C17" s="7" t="s">
        <v>124</v>
      </c>
      <c r="D17" s="8" t="s">
        <v>21</v>
      </c>
      <c r="E17" s="9" t="s">
        <v>22</v>
      </c>
      <c r="F17" s="8" t="s">
        <v>68</v>
      </c>
      <c r="G17" s="5" t="s">
        <v>100</v>
      </c>
      <c r="H17" s="5" t="s">
        <v>101</v>
      </c>
      <c r="I17" s="8" t="s">
        <v>110</v>
      </c>
      <c r="J17" s="8" t="s">
        <v>125</v>
      </c>
      <c r="K17" s="8" t="s">
        <v>112</v>
      </c>
      <c r="L17" s="8" t="s">
        <v>126</v>
      </c>
      <c r="M17" s="8" t="s">
        <v>127</v>
      </c>
      <c r="N17" s="8" t="s">
        <v>89</v>
      </c>
      <c r="O17" s="8" t="s">
        <v>128</v>
      </c>
      <c r="P17" s="8" t="s">
        <v>129</v>
      </c>
    </row>
    <row r="18" customFormat="false" ht="43.5" hidden="false" customHeight="true" outlineLevel="0" collapsed="false">
      <c r="A18" s="5" t="s">
        <v>18</v>
      </c>
      <c r="B18" s="6" t="s">
        <v>130</v>
      </c>
      <c r="C18" s="7" t="s">
        <v>131</v>
      </c>
      <c r="D18" s="8" t="s">
        <v>21</v>
      </c>
      <c r="E18" s="9" t="s">
        <v>22</v>
      </c>
      <c r="F18" s="8" t="s">
        <v>23</v>
      </c>
      <c r="G18" s="5" t="s">
        <v>100</v>
      </c>
      <c r="H18" s="5" t="s">
        <v>101</v>
      </c>
      <c r="I18" s="8" t="s">
        <v>132</v>
      </c>
      <c r="J18" s="8" t="s">
        <v>85</v>
      </c>
      <c r="K18" s="8" t="s">
        <v>133</v>
      </c>
      <c r="L18" s="8" t="s">
        <v>87</v>
      </c>
      <c r="M18" s="8" t="s">
        <v>134</v>
      </c>
      <c r="N18" s="8" t="s">
        <v>89</v>
      </c>
      <c r="O18" s="8" t="s">
        <v>135</v>
      </c>
      <c r="P18" s="8"/>
    </row>
    <row r="19" customFormat="false" ht="31.5" hidden="false" customHeight="true" outlineLevel="0" collapsed="false">
      <c r="A19" s="5" t="s">
        <v>18</v>
      </c>
      <c r="B19" s="6" t="s">
        <v>136</v>
      </c>
      <c r="C19" s="7" t="s">
        <v>137</v>
      </c>
      <c r="D19" s="8" t="s">
        <v>21</v>
      </c>
      <c r="E19" s="10" t="s">
        <v>138</v>
      </c>
      <c r="F19" s="8" t="s">
        <v>23</v>
      </c>
      <c r="G19" s="5" t="s">
        <v>100</v>
      </c>
      <c r="H19" s="5" t="s">
        <v>101</v>
      </c>
      <c r="I19" s="8" t="s">
        <v>110</v>
      </c>
      <c r="J19" s="8" t="s">
        <v>139</v>
      </c>
      <c r="K19" s="8" t="s">
        <v>140</v>
      </c>
      <c r="L19" s="8" t="s">
        <v>126</v>
      </c>
      <c r="M19" s="8" t="s">
        <v>39</v>
      </c>
      <c r="N19" s="8" t="s">
        <v>89</v>
      </c>
      <c r="O19" s="8" t="s">
        <v>141</v>
      </c>
      <c r="P19" s="8"/>
    </row>
    <row r="20" customFormat="false" ht="43.5" hidden="false" customHeight="true" outlineLevel="0" collapsed="false">
      <c r="A20" s="5" t="s">
        <v>18</v>
      </c>
      <c r="B20" s="6" t="s">
        <v>142</v>
      </c>
      <c r="C20" s="7" t="s">
        <v>143</v>
      </c>
      <c r="D20" s="8" t="s">
        <v>21</v>
      </c>
      <c r="E20" s="9" t="s">
        <v>22</v>
      </c>
      <c r="F20" s="8" t="s">
        <v>68</v>
      </c>
      <c r="G20" s="5" t="s">
        <v>144</v>
      </c>
      <c r="H20" s="5" t="s">
        <v>145</v>
      </c>
      <c r="I20" s="8" t="s">
        <v>146</v>
      </c>
      <c r="J20" s="8" t="s">
        <v>147</v>
      </c>
      <c r="K20" s="8" t="s">
        <v>28</v>
      </c>
      <c r="L20" s="8" t="s">
        <v>148</v>
      </c>
      <c r="M20" s="8" t="s">
        <v>149</v>
      </c>
      <c r="N20" s="8" t="s">
        <v>31</v>
      </c>
      <c r="O20" s="8" t="s">
        <v>150</v>
      </c>
      <c r="P20" s="8" t="s">
        <v>151</v>
      </c>
    </row>
    <row r="21" customFormat="false" ht="31.5" hidden="false" customHeight="true" outlineLevel="0" collapsed="false">
      <c r="A21" s="5" t="s">
        <v>18</v>
      </c>
      <c r="B21" s="6" t="s">
        <v>152</v>
      </c>
      <c r="C21" s="7" t="s">
        <v>153</v>
      </c>
      <c r="D21" s="8" t="s">
        <v>21</v>
      </c>
      <c r="E21" s="9" t="s">
        <v>22</v>
      </c>
      <c r="F21" s="8" t="s">
        <v>23</v>
      </c>
      <c r="G21" s="5" t="s">
        <v>144</v>
      </c>
      <c r="H21" s="5" t="s">
        <v>145</v>
      </c>
      <c r="I21" s="8" t="s">
        <v>154</v>
      </c>
      <c r="J21" s="8" t="s">
        <v>155</v>
      </c>
      <c r="K21" s="8" t="s">
        <v>156</v>
      </c>
      <c r="L21" s="8" t="s">
        <v>157</v>
      </c>
      <c r="M21" s="8" t="s">
        <v>158</v>
      </c>
      <c r="N21" s="8" t="s">
        <v>39</v>
      </c>
      <c r="O21" s="8" t="s">
        <v>159</v>
      </c>
      <c r="P21" s="8"/>
    </row>
    <row r="22" customFormat="false" ht="19.5" hidden="false" customHeight="true" outlineLevel="0" collapsed="false">
      <c r="A22" s="5" t="s">
        <v>18</v>
      </c>
      <c r="B22" s="6" t="s">
        <v>160</v>
      </c>
      <c r="C22" s="7" t="s">
        <v>161</v>
      </c>
      <c r="D22" s="8" t="s">
        <v>21</v>
      </c>
      <c r="E22" s="9" t="s">
        <v>22</v>
      </c>
      <c r="F22" s="8" t="s">
        <v>23</v>
      </c>
      <c r="G22" s="5" t="s">
        <v>144</v>
      </c>
      <c r="H22" s="5" t="s">
        <v>145</v>
      </c>
      <c r="I22" s="8" t="s">
        <v>154</v>
      </c>
      <c r="J22" s="8" t="s">
        <v>155</v>
      </c>
      <c r="K22" s="8" t="s">
        <v>162</v>
      </c>
      <c r="L22" s="8" t="s">
        <v>163</v>
      </c>
      <c r="M22" s="8" t="s">
        <v>158</v>
      </c>
      <c r="N22" s="8" t="s">
        <v>39</v>
      </c>
      <c r="O22" s="8" t="s">
        <v>164</v>
      </c>
      <c r="P22" s="8"/>
    </row>
    <row r="23" customFormat="false" ht="31.5" hidden="false" customHeight="true" outlineLevel="0" collapsed="false">
      <c r="A23" s="5" t="s">
        <v>18</v>
      </c>
      <c r="B23" s="6" t="s">
        <v>165</v>
      </c>
      <c r="C23" s="7" t="s">
        <v>166</v>
      </c>
      <c r="D23" s="8" t="s">
        <v>21</v>
      </c>
      <c r="E23" s="9" t="s">
        <v>22</v>
      </c>
      <c r="F23" s="8" t="s">
        <v>23</v>
      </c>
      <c r="G23" s="5" t="s">
        <v>144</v>
      </c>
      <c r="H23" s="5" t="s">
        <v>145</v>
      </c>
      <c r="I23" s="8" t="s">
        <v>167</v>
      </c>
      <c r="J23" s="8" t="s">
        <v>168</v>
      </c>
      <c r="K23" s="8" t="s">
        <v>169</v>
      </c>
      <c r="L23" s="8" t="s">
        <v>170</v>
      </c>
      <c r="M23" s="8" t="s">
        <v>171</v>
      </c>
      <c r="N23" s="8" t="s">
        <v>172</v>
      </c>
      <c r="O23" s="8" t="s">
        <v>173</v>
      </c>
      <c r="P23" s="8"/>
    </row>
    <row r="24" customFormat="false" ht="31.5" hidden="false" customHeight="true" outlineLevel="0" collapsed="false">
      <c r="A24" s="5" t="s">
        <v>18</v>
      </c>
      <c r="B24" s="6" t="s">
        <v>174</v>
      </c>
      <c r="C24" s="7" t="s">
        <v>175</v>
      </c>
      <c r="D24" s="8" t="s">
        <v>21</v>
      </c>
      <c r="E24" s="9" t="s">
        <v>22</v>
      </c>
      <c r="F24" s="8" t="s">
        <v>23</v>
      </c>
      <c r="G24" s="5" t="s">
        <v>144</v>
      </c>
      <c r="H24" s="5" t="s">
        <v>145</v>
      </c>
      <c r="I24" s="8" t="s">
        <v>176</v>
      </c>
      <c r="J24" s="8" t="s">
        <v>177</v>
      </c>
      <c r="K24" s="8" t="s">
        <v>178</v>
      </c>
      <c r="L24" s="8" t="s">
        <v>179</v>
      </c>
      <c r="M24" s="8" t="s">
        <v>180</v>
      </c>
      <c r="N24" s="8" t="s">
        <v>172</v>
      </c>
      <c r="O24" s="8" t="s">
        <v>181</v>
      </c>
      <c r="P24" s="8"/>
    </row>
    <row r="25" customFormat="false" ht="31.5" hidden="false" customHeight="true" outlineLevel="0" collapsed="false">
      <c r="A25" s="5" t="s">
        <v>18</v>
      </c>
      <c r="B25" s="6" t="s">
        <v>182</v>
      </c>
      <c r="C25" s="7" t="s">
        <v>183</v>
      </c>
      <c r="D25" s="8" t="s">
        <v>21</v>
      </c>
      <c r="E25" s="9" t="s">
        <v>22</v>
      </c>
      <c r="F25" s="8" t="s">
        <v>23</v>
      </c>
      <c r="G25" s="5" t="s">
        <v>144</v>
      </c>
      <c r="H25" s="5" t="s">
        <v>145</v>
      </c>
      <c r="I25" s="8" t="s">
        <v>167</v>
      </c>
      <c r="J25" s="8" t="s">
        <v>184</v>
      </c>
      <c r="K25" s="8" t="s">
        <v>178</v>
      </c>
      <c r="L25" s="8" t="s">
        <v>185</v>
      </c>
      <c r="M25" s="8" t="s">
        <v>186</v>
      </c>
      <c r="N25" s="8" t="s">
        <v>172</v>
      </c>
      <c r="O25" s="8" t="s">
        <v>187</v>
      </c>
      <c r="P25" s="8" t="s">
        <v>188</v>
      </c>
    </row>
    <row r="26" customFormat="false" ht="43.5" hidden="false" customHeight="true" outlineLevel="0" collapsed="false">
      <c r="A26" s="5" t="s">
        <v>18</v>
      </c>
      <c r="B26" s="6" t="s">
        <v>189</v>
      </c>
      <c r="C26" s="7" t="s">
        <v>190</v>
      </c>
      <c r="D26" s="8" t="s">
        <v>21</v>
      </c>
      <c r="E26" s="10" t="s">
        <v>138</v>
      </c>
      <c r="F26" s="8" t="s">
        <v>23</v>
      </c>
      <c r="G26" s="5" t="s">
        <v>144</v>
      </c>
      <c r="H26" s="5" t="s">
        <v>145</v>
      </c>
      <c r="I26" s="8" t="s">
        <v>191</v>
      </c>
      <c r="J26" s="8" t="s">
        <v>192</v>
      </c>
      <c r="K26" s="8" t="s">
        <v>193</v>
      </c>
      <c r="L26" s="8" t="s">
        <v>194</v>
      </c>
      <c r="M26" s="8" t="s">
        <v>195</v>
      </c>
      <c r="N26" s="8" t="s">
        <v>39</v>
      </c>
      <c r="O26" s="8" t="s">
        <v>196</v>
      </c>
      <c r="P26" s="8"/>
    </row>
    <row r="27" customFormat="false" ht="31.5" hidden="false" customHeight="true" outlineLevel="0" collapsed="false">
      <c r="A27" s="5" t="s">
        <v>18</v>
      </c>
      <c r="B27" s="6" t="s">
        <v>197</v>
      </c>
      <c r="C27" s="7" t="s">
        <v>198</v>
      </c>
      <c r="D27" s="8" t="s">
        <v>21</v>
      </c>
      <c r="E27" s="10" t="s">
        <v>138</v>
      </c>
      <c r="F27" s="8" t="s">
        <v>23</v>
      </c>
      <c r="G27" s="5" t="s">
        <v>144</v>
      </c>
      <c r="H27" s="5" t="s">
        <v>145</v>
      </c>
      <c r="I27" s="8" t="s">
        <v>199</v>
      </c>
      <c r="J27" s="8" t="s">
        <v>200</v>
      </c>
      <c r="K27" s="8" t="s">
        <v>201</v>
      </c>
      <c r="L27" s="8" t="s">
        <v>170</v>
      </c>
      <c r="M27" s="8" t="s">
        <v>202</v>
      </c>
      <c r="N27" s="8" t="s">
        <v>39</v>
      </c>
      <c r="O27" s="8" t="s">
        <v>203</v>
      </c>
      <c r="P27" s="8"/>
    </row>
    <row r="28" customFormat="false" ht="31.5" hidden="false" customHeight="true" outlineLevel="0" collapsed="false">
      <c r="A28" s="5" t="s">
        <v>18</v>
      </c>
      <c r="B28" s="6" t="s">
        <v>204</v>
      </c>
      <c r="C28" s="7" t="s">
        <v>205</v>
      </c>
      <c r="D28" s="8" t="s">
        <v>21</v>
      </c>
      <c r="E28" s="10" t="s">
        <v>138</v>
      </c>
      <c r="F28" s="8" t="s">
        <v>23</v>
      </c>
      <c r="G28" s="5" t="s">
        <v>144</v>
      </c>
      <c r="H28" s="5" t="s">
        <v>145</v>
      </c>
      <c r="I28" s="8" t="s">
        <v>199</v>
      </c>
      <c r="J28" s="8" t="s">
        <v>206</v>
      </c>
      <c r="K28" s="8" t="s">
        <v>156</v>
      </c>
      <c r="L28" s="8" t="s">
        <v>170</v>
      </c>
      <c r="M28" s="8" t="s">
        <v>207</v>
      </c>
      <c r="N28" s="8" t="s">
        <v>39</v>
      </c>
      <c r="O28" s="8" t="s">
        <v>208</v>
      </c>
      <c r="P28" s="8" t="s">
        <v>209</v>
      </c>
    </row>
    <row r="29" customFormat="false" ht="31.5" hidden="false" customHeight="true" outlineLevel="0" collapsed="false">
      <c r="A29" s="5" t="s">
        <v>18</v>
      </c>
      <c r="B29" s="6" t="s">
        <v>210</v>
      </c>
      <c r="C29" s="7" t="s">
        <v>211</v>
      </c>
      <c r="D29" s="8" t="s">
        <v>21</v>
      </c>
      <c r="E29" s="10" t="s">
        <v>138</v>
      </c>
      <c r="F29" s="8" t="s">
        <v>23</v>
      </c>
      <c r="G29" s="5" t="s">
        <v>144</v>
      </c>
      <c r="H29" s="5" t="s">
        <v>145</v>
      </c>
      <c r="I29" s="8" t="s">
        <v>191</v>
      </c>
      <c r="J29" s="8" t="s">
        <v>192</v>
      </c>
      <c r="K29" s="8" t="s">
        <v>212</v>
      </c>
      <c r="L29" s="8" t="s">
        <v>213</v>
      </c>
      <c r="M29" s="8" t="s">
        <v>39</v>
      </c>
      <c r="N29" s="8" t="s">
        <v>39</v>
      </c>
      <c r="O29" s="8" t="s">
        <v>214</v>
      </c>
      <c r="P29" s="8"/>
    </row>
    <row r="30" customFormat="false" ht="31.5" hidden="false" customHeight="true" outlineLevel="0" collapsed="false">
      <c r="A30" s="5" t="s">
        <v>18</v>
      </c>
      <c r="B30" s="6" t="s">
        <v>215</v>
      </c>
      <c r="C30" s="7" t="s">
        <v>216</v>
      </c>
      <c r="D30" s="8" t="s">
        <v>217</v>
      </c>
      <c r="E30" s="9" t="s">
        <v>22</v>
      </c>
      <c r="F30" s="8" t="s">
        <v>23</v>
      </c>
      <c r="G30" s="5" t="s">
        <v>218</v>
      </c>
      <c r="H30" s="5" t="s">
        <v>219</v>
      </c>
      <c r="I30" s="8" t="s">
        <v>220</v>
      </c>
      <c r="J30" s="8" t="s">
        <v>221</v>
      </c>
      <c r="K30" s="8" t="s">
        <v>222</v>
      </c>
      <c r="L30" s="8" t="s">
        <v>223</v>
      </c>
      <c r="M30" s="8" t="s">
        <v>224</v>
      </c>
      <c r="N30" s="8" t="s">
        <v>39</v>
      </c>
      <c r="O30" s="8" t="s">
        <v>225</v>
      </c>
      <c r="P30" s="8"/>
    </row>
    <row r="31" customFormat="false" ht="31.5" hidden="false" customHeight="true" outlineLevel="0" collapsed="false">
      <c r="A31" s="5" t="s">
        <v>18</v>
      </c>
      <c r="B31" s="6" t="s">
        <v>226</v>
      </c>
      <c r="C31" s="7" t="s">
        <v>227</v>
      </c>
      <c r="D31" s="8" t="s">
        <v>21</v>
      </c>
      <c r="E31" s="9" t="s">
        <v>22</v>
      </c>
      <c r="F31" s="8" t="s">
        <v>23</v>
      </c>
      <c r="G31" s="5" t="s">
        <v>218</v>
      </c>
      <c r="H31" s="5" t="s">
        <v>219</v>
      </c>
      <c r="I31" s="8" t="s">
        <v>228</v>
      </c>
      <c r="J31" s="8" t="s">
        <v>229</v>
      </c>
      <c r="K31" s="8" t="s">
        <v>230</v>
      </c>
      <c r="L31" s="8" t="s">
        <v>231</v>
      </c>
      <c r="M31" s="8" t="s">
        <v>232</v>
      </c>
      <c r="N31" s="8" t="s">
        <v>39</v>
      </c>
      <c r="O31" s="8" t="s">
        <v>233</v>
      </c>
      <c r="P31" s="8"/>
    </row>
    <row r="32" customFormat="false" ht="31.5" hidden="false" customHeight="true" outlineLevel="0" collapsed="false">
      <c r="A32" s="5" t="s">
        <v>18</v>
      </c>
      <c r="B32" s="6" t="s">
        <v>234</v>
      </c>
      <c r="C32" s="7" t="s">
        <v>235</v>
      </c>
      <c r="D32" s="8" t="s">
        <v>57</v>
      </c>
      <c r="E32" s="9" t="s">
        <v>22</v>
      </c>
      <c r="F32" s="8" t="s">
        <v>23</v>
      </c>
      <c r="G32" s="5" t="s">
        <v>218</v>
      </c>
      <c r="H32" s="5" t="s">
        <v>219</v>
      </c>
      <c r="I32" s="8" t="s">
        <v>236</v>
      </c>
      <c r="J32" s="8" t="s">
        <v>237</v>
      </c>
      <c r="K32" s="8" t="s">
        <v>238</v>
      </c>
      <c r="L32" s="8" t="s">
        <v>239</v>
      </c>
      <c r="M32" s="8" t="s">
        <v>240</v>
      </c>
      <c r="N32" s="8" t="s">
        <v>39</v>
      </c>
      <c r="O32" s="8" t="s">
        <v>241</v>
      </c>
      <c r="P32" s="8"/>
    </row>
    <row r="33" customFormat="false" ht="31.5" hidden="false" customHeight="true" outlineLevel="0" collapsed="false">
      <c r="A33" s="5" t="s">
        <v>18</v>
      </c>
      <c r="B33" s="6" t="s">
        <v>242</v>
      </c>
      <c r="C33" s="7" t="s">
        <v>243</v>
      </c>
      <c r="D33" s="8" t="s">
        <v>21</v>
      </c>
      <c r="E33" s="9" t="s">
        <v>22</v>
      </c>
      <c r="F33" s="8" t="s">
        <v>68</v>
      </c>
      <c r="G33" s="5" t="s">
        <v>218</v>
      </c>
      <c r="H33" s="5" t="s">
        <v>219</v>
      </c>
      <c r="I33" s="8" t="s">
        <v>244</v>
      </c>
      <c r="J33" s="8" t="s">
        <v>245</v>
      </c>
      <c r="K33" s="8" t="s">
        <v>246</v>
      </c>
      <c r="L33" s="8" t="s">
        <v>247</v>
      </c>
      <c r="M33" s="8" t="s">
        <v>248</v>
      </c>
      <c r="N33" s="8" t="s">
        <v>249</v>
      </c>
      <c r="O33" s="8" t="s">
        <v>250</v>
      </c>
      <c r="P33" s="8" t="s">
        <v>251</v>
      </c>
    </row>
    <row r="34" customFormat="false" ht="31.5" hidden="false" customHeight="true" outlineLevel="0" collapsed="false">
      <c r="A34" s="5" t="s">
        <v>18</v>
      </c>
      <c r="B34" s="6" t="s">
        <v>252</v>
      </c>
      <c r="C34" s="7" t="s">
        <v>253</v>
      </c>
      <c r="D34" s="8" t="s">
        <v>21</v>
      </c>
      <c r="E34" s="10" t="s">
        <v>138</v>
      </c>
      <c r="F34" s="8" t="s">
        <v>23</v>
      </c>
      <c r="G34" s="5" t="s">
        <v>218</v>
      </c>
      <c r="H34" s="5" t="s">
        <v>219</v>
      </c>
      <c r="I34" s="8" t="s">
        <v>220</v>
      </c>
      <c r="J34" s="8" t="s">
        <v>221</v>
      </c>
      <c r="K34" s="8" t="s">
        <v>230</v>
      </c>
      <c r="L34" s="8" t="s">
        <v>254</v>
      </c>
      <c r="M34" s="8" t="s">
        <v>255</v>
      </c>
      <c r="N34" s="8" t="s">
        <v>39</v>
      </c>
      <c r="O34" s="8" t="s">
        <v>256</v>
      </c>
      <c r="P34" s="8"/>
    </row>
    <row r="35" customFormat="false" ht="31.5" hidden="false" customHeight="true" outlineLevel="0" collapsed="false">
      <c r="A35" s="5" t="s">
        <v>18</v>
      </c>
      <c r="B35" s="6" t="s">
        <v>257</v>
      </c>
      <c r="C35" s="7" t="s">
        <v>258</v>
      </c>
      <c r="D35" s="8" t="s">
        <v>21</v>
      </c>
      <c r="E35" s="10" t="s">
        <v>138</v>
      </c>
      <c r="F35" s="8" t="s">
        <v>68</v>
      </c>
      <c r="G35" s="5" t="s">
        <v>218</v>
      </c>
      <c r="H35" s="5" t="s">
        <v>219</v>
      </c>
      <c r="I35" s="8" t="s">
        <v>259</v>
      </c>
      <c r="J35" s="8" t="s">
        <v>245</v>
      </c>
      <c r="K35" s="8" t="s">
        <v>260</v>
      </c>
      <c r="L35" s="8" t="s">
        <v>261</v>
      </c>
      <c r="M35" s="8" t="s">
        <v>262</v>
      </c>
      <c r="N35" s="8" t="s">
        <v>249</v>
      </c>
      <c r="O35" s="8" t="s">
        <v>263</v>
      </c>
      <c r="P35" s="8" t="s">
        <v>264</v>
      </c>
    </row>
    <row r="36" customFormat="false" ht="43.5" hidden="false" customHeight="true" outlineLevel="0" collapsed="false">
      <c r="A36" s="5" t="s">
        <v>18</v>
      </c>
      <c r="B36" s="6" t="s">
        <v>265</v>
      </c>
      <c r="C36" s="7" t="s">
        <v>266</v>
      </c>
      <c r="D36" s="8" t="s">
        <v>21</v>
      </c>
      <c r="E36" s="10" t="s">
        <v>138</v>
      </c>
      <c r="F36" s="8" t="s">
        <v>23</v>
      </c>
      <c r="G36" s="5" t="s">
        <v>218</v>
      </c>
      <c r="H36" s="5" t="s">
        <v>219</v>
      </c>
      <c r="I36" s="8" t="s">
        <v>267</v>
      </c>
      <c r="J36" s="8" t="s">
        <v>268</v>
      </c>
      <c r="K36" s="8" t="s">
        <v>269</v>
      </c>
      <c r="L36" s="8" t="s">
        <v>270</v>
      </c>
      <c r="M36" s="8" t="s">
        <v>271</v>
      </c>
      <c r="N36" s="8" t="s">
        <v>249</v>
      </c>
      <c r="O36" s="8" t="s">
        <v>272</v>
      </c>
      <c r="P36" s="8"/>
    </row>
    <row r="37" customFormat="false" ht="31.5" hidden="false" customHeight="true" outlineLevel="0" collapsed="false">
      <c r="A37" s="5" t="s">
        <v>18</v>
      </c>
      <c r="B37" s="6" t="s">
        <v>273</v>
      </c>
      <c r="C37" s="7" t="s">
        <v>274</v>
      </c>
      <c r="D37" s="8" t="s">
        <v>21</v>
      </c>
      <c r="E37" s="10" t="s">
        <v>138</v>
      </c>
      <c r="F37" s="8" t="s">
        <v>23</v>
      </c>
      <c r="G37" s="5" t="s">
        <v>218</v>
      </c>
      <c r="H37" s="5" t="s">
        <v>219</v>
      </c>
      <c r="I37" s="8" t="s">
        <v>275</v>
      </c>
      <c r="J37" s="8" t="s">
        <v>276</v>
      </c>
      <c r="K37" s="8" t="s">
        <v>277</v>
      </c>
      <c r="L37" s="8" t="s">
        <v>278</v>
      </c>
      <c r="M37" s="8" t="s">
        <v>39</v>
      </c>
      <c r="N37" s="8" t="s">
        <v>39</v>
      </c>
      <c r="O37" s="8" t="s">
        <v>279</v>
      </c>
      <c r="P37" s="8"/>
    </row>
    <row r="38" customFormat="false" ht="31.5" hidden="false" customHeight="true" outlineLevel="0" collapsed="false">
      <c r="A38" s="5" t="s">
        <v>18</v>
      </c>
      <c r="B38" s="6" t="s">
        <v>280</v>
      </c>
      <c r="C38" s="7" t="s">
        <v>281</v>
      </c>
      <c r="D38" s="8" t="s">
        <v>57</v>
      </c>
      <c r="E38" s="10" t="s">
        <v>138</v>
      </c>
      <c r="F38" s="8" t="s">
        <v>68</v>
      </c>
      <c r="G38" s="5" t="s">
        <v>218</v>
      </c>
      <c r="H38" s="5" t="s">
        <v>219</v>
      </c>
      <c r="I38" s="8" t="s">
        <v>282</v>
      </c>
      <c r="J38" s="8" t="s">
        <v>283</v>
      </c>
      <c r="K38" s="8" t="s">
        <v>284</v>
      </c>
      <c r="L38" s="8" t="s">
        <v>285</v>
      </c>
      <c r="M38" s="8" t="s">
        <v>73</v>
      </c>
      <c r="N38" s="8" t="s">
        <v>286</v>
      </c>
      <c r="O38" s="8" t="s">
        <v>287</v>
      </c>
      <c r="P38" s="8" t="s">
        <v>288</v>
      </c>
    </row>
    <row r="39" customFormat="false" ht="31.5" hidden="false" customHeight="true" outlineLevel="0" collapsed="false">
      <c r="A39" s="5" t="s">
        <v>18</v>
      </c>
      <c r="B39" s="6" t="s">
        <v>289</v>
      </c>
      <c r="C39" s="7" t="s">
        <v>290</v>
      </c>
      <c r="D39" s="8" t="s">
        <v>57</v>
      </c>
      <c r="E39" s="10" t="s">
        <v>138</v>
      </c>
      <c r="F39" s="8" t="s">
        <v>68</v>
      </c>
      <c r="G39" s="5" t="s">
        <v>218</v>
      </c>
      <c r="H39" s="5" t="s">
        <v>219</v>
      </c>
      <c r="I39" s="8" t="s">
        <v>282</v>
      </c>
      <c r="J39" s="8" t="s">
        <v>283</v>
      </c>
      <c r="K39" s="8" t="s">
        <v>291</v>
      </c>
      <c r="L39" s="8" t="s">
        <v>292</v>
      </c>
      <c r="M39" s="8" t="s">
        <v>293</v>
      </c>
      <c r="N39" s="8" t="s">
        <v>286</v>
      </c>
      <c r="O39" s="8" t="s">
        <v>294</v>
      </c>
      <c r="P39" s="8" t="s">
        <v>295</v>
      </c>
    </row>
    <row r="40" customFormat="false" ht="31.5" hidden="false" customHeight="true" outlineLevel="0" collapsed="false">
      <c r="A40" s="5" t="s">
        <v>18</v>
      </c>
      <c r="B40" s="6" t="s">
        <v>296</v>
      </c>
      <c r="C40" s="7" t="s">
        <v>297</v>
      </c>
      <c r="D40" s="8" t="s">
        <v>298</v>
      </c>
      <c r="E40" s="10" t="s">
        <v>138</v>
      </c>
      <c r="F40" s="8" t="s">
        <v>68</v>
      </c>
      <c r="G40" s="5" t="s">
        <v>218</v>
      </c>
      <c r="H40" s="5" t="s">
        <v>219</v>
      </c>
      <c r="I40" s="8" t="s">
        <v>299</v>
      </c>
      <c r="J40" s="8" t="s">
        <v>283</v>
      </c>
      <c r="K40" s="8" t="s">
        <v>300</v>
      </c>
      <c r="L40" s="8" t="s">
        <v>301</v>
      </c>
      <c r="M40" s="8" t="s">
        <v>302</v>
      </c>
      <c r="N40" s="8" t="s">
        <v>286</v>
      </c>
      <c r="O40" s="8" t="s">
        <v>303</v>
      </c>
      <c r="P40" s="8" t="s">
        <v>295</v>
      </c>
    </row>
    <row r="41" customFormat="false" ht="31.5" hidden="false" customHeight="true" outlineLevel="0" collapsed="false">
      <c r="A41" s="5" t="s">
        <v>18</v>
      </c>
      <c r="B41" s="6" t="s">
        <v>304</v>
      </c>
      <c r="C41" s="7" t="s">
        <v>305</v>
      </c>
      <c r="D41" s="8" t="s">
        <v>57</v>
      </c>
      <c r="E41" s="10" t="s">
        <v>138</v>
      </c>
      <c r="F41" s="8" t="s">
        <v>68</v>
      </c>
      <c r="G41" s="5" t="s">
        <v>218</v>
      </c>
      <c r="H41" s="5" t="s">
        <v>219</v>
      </c>
      <c r="I41" s="8" t="s">
        <v>306</v>
      </c>
      <c r="J41" s="8" t="s">
        <v>283</v>
      </c>
      <c r="K41" s="8" t="s">
        <v>307</v>
      </c>
      <c r="L41" s="8" t="s">
        <v>308</v>
      </c>
      <c r="M41" s="8" t="s">
        <v>309</v>
      </c>
      <c r="N41" s="8" t="s">
        <v>286</v>
      </c>
      <c r="O41" s="8" t="s">
        <v>310</v>
      </c>
      <c r="P41" s="8" t="s">
        <v>295</v>
      </c>
    </row>
    <row r="42" customFormat="false" ht="31.5" hidden="false" customHeight="true" outlineLevel="0" collapsed="false">
      <c r="A42" s="5" t="s">
        <v>18</v>
      </c>
      <c r="B42" s="6" t="s">
        <v>311</v>
      </c>
      <c r="C42" s="7" t="s">
        <v>312</v>
      </c>
      <c r="D42" s="8" t="s">
        <v>57</v>
      </c>
      <c r="E42" s="10" t="s">
        <v>138</v>
      </c>
      <c r="F42" s="8" t="s">
        <v>23</v>
      </c>
      <c r="G42" s="5" t="s">
        <v>218</v>
      </c>
      <c r="H42" s="5" t="s">
        <v>219</v>
      </c>
      <c r="I42" s="8" t="s">
        <v>313</v>
      </c>
      <c r="J42" s="8" t="s">
        <v>314</v>
      </c>
      <c r="K42" s="8" t="s">
        <v>315</v>
      </c>
      <c r="L42" s="8" t="s">
        <v>316</v>
      </c>
      <c r="M42" s="8" t="s">
        <v>195</v>
      </c>
      <c r="N42" s="8" t="s">
        <v>39</v>
      </c>
      <c r="O42" s="8" t="s">
        <v>317</v>
      </c>
      <c r="P42" s="8"/>
    </row>
    <row r="43" customFormat="false" ht="31.5" hidden="false" customHeight="true" outlineLevel="0" collapsed="false">
      <c r="A43" s="5" t="s">
        <v>18</v>
      </c>
      <c r="B43" s="6" t="s">
        <v>318</v>
      </c>
      <c r="C43" s="7" t="s">
        <v>319</v>
      </c>
      <c r="D43" s="8" t="s">
        <v>57</v>
      </c>
      <c r="E43" s="9" t="s">
        <v>22</v>
      </c>
      <c r="F43" s="8" t="s">
        <v>23</v>
      </c>
      <c r="G43" s="5" t="s">
        <v>320</v>
      </c>
      <c r="H43" s="5" t="s">
        <v>321</v>
      </c>
      <c r="I43" s="8" t="s">
        <v>322</v>
      </c>
      <c r="J43" s="8" t="s">
        <v>323</v>
      </c>
      <c r="K43" s="8" t="s">
        <v>324</v>
      </c>
      <c r="L43" s="8" t="s">
        <v>325</v>
      </c>
      <c r="M43" s="8" t="s">
        <v>293</v>
      </c>
      <c r="N43" s="8" t="s">
        <v>39</v>
      </c>
      <c r="O43" s="8" t="s">
        <v>326</v>
      </c>
      <c r="P43" s="8" t="s">
        <v>327</v>
      </c>
    </row>
    <row r="44" customFormat="false" ht="43.5" hidden="false" customHeight="true" outlineLevel="0" collapsed="false">
      <c r="A44" s="5" t="s">
        <v>18</v>
      </c>
      <c r="B44" s="6" t="s">
        <v>328</v>
      </c>
      <c r="C44" s="7" t="s">
        <v>329</v>
      </c>
      <c r="D44" s="8" t="s">
        <v>330</v>
      </c>
      <c r="E44" s="9" t="s">
        <v>22</v>
      </c>
      <c r="F44" s="8" t="s">
        <v>23</v>
      </c>
      <c r="G44" s="5" t="s">
        <v>320</v>
      </c>
      <c r="H44" s="5" t="s">
        <v>321</v>
      </c>
      <c r="I44" s="8" t="s">
        <v>331</v>
      </c>
      <c r="J44" s="8" t="s">
        <v>332</v>
      </c>
      <c r="K44" s="8" t="s">
        <v>333</v>
      </c>
      <c r="L44" s="8" t="s">
        <v>334</v>
      </c>
      <c r="M44" s="8" t="s">
        <v>335</v>
      </c>
      <c r="N44" s="8" t="s">
        <v>63</v>
      </c>
      <c r="O44" s="8" t="s">
        <v>336</v>
      </c>
      <c r="P44" s="8"/>
    </row>
    <row r="45" customFormat="false" ht="79.5" hidden="false" customHeight="true" outlineLevel="0" collapsed="false">
      <c r="A45" s="5" t="s">
        <v>18</v>
      </c>
      <c r="B45" s="6" t="s">
        <v>337</v>
      </c>
      <c r="C45" s="7" t="s">
        <v>338</v>
      </c>
      <c r="D45" s="8" t="s">
        <v>330</v>
      </c>
      <c r="E45" s="10" t="s">
        <v>138</v>
      </c>
      <c r="F45" s="8" t="s">
        <v>68</v>
      </c>
      <c r="G45" s="5" t="s">
        <v>320</v>
      </c>
      <c r="H45" s="5" t="s">
        <v>321</v>
      </c>
      <c r="I45" s="8" t="s">
        <v>339</v>
      </c>
      <c r="J45" s="8" t="s">
        <v>340</v>
      </c>
      <c r="K45" s="8" t="s">
        <v>341</v>
      </c>
      <c r="L45" s="8" t="s">
        <v>342</v>
      </c>
      <c r="M45" s="8" t="s">
        <v>343</v>
      </c>
      <c r="N45" s="8" t="s">
        <v>89</v>
      </c>
      <c r="O45" s="8" t="s">
        <v>344</v>
      </c>
      <c r="P45" s="8" t="s">
        <v>345</v>
      </c>
    </row>
    <row r="46" customFormat="false" ht="31.5" hidden="false" customHeight="true" outlineLevel="0" collapsed="false">
      <c r="A46" s="5" t="s">
        <v>346</v>
      </c>
      <c r="B46" s="6" t="s">
        <v>347</v>
      </c>
      <c r="C46" s="7" t="s">
        <v>348</v>
      </c>
      <c r="D46" s="8" t="s">
        <v>21</v>
      </c>
      <c r="E46" s="10" t="s">
        <v>138</v>
      </c>
      <c r="F46" s="8" t="s">
        <v>23</v>
      </c>
      <c r="G46" s="5" t="s">
        <v>346</v>
      </c>
      <c r="H46" s="5" t="s">
        <v>349</v>
      </c>
      <c r="I46" s="8" t="s">
        <v>350</v>
      </c>
      <c r="J46" s="8" t="s">
        <v>351</v>
      </c>
      <c r="K46" s="8" t="s">
        <v>352</v>
      </c>
      <c r="L46" s="8" t="s">
        <v>170</v>
      </c>
      <c r="M46" s="8" t="s">
        <v>353</v>
      </c>
      <c r="N46" s="8" t="s">
        <v>39</v>
      </c>
      <c r="O46" s="8" t="s">
        <v>354</v>
      </c>
      <c r="P46" s="8"/>
    </row>
    <row r="47" customFormat="false" ht="19.5" hidden="false" customHeight="true" outlineLevel="0" collapsed="false">
      <c r="A47" s="5" t="s">
        <v>346</v>
      </c>
      <c r="B47" s="6" t="s">
        <v>355</v>
      </c>
      <c r="C47" s="7" t="s">
        <v>356</v>
      </c>
      <c r="D47" s="8" t="s">
        <v>21</v>
      </c>
      <c r="E47" s="10" t="s">
        <v>138</v>
      </c>
      <c r="F47" s="8" t="s">
        <v>23</v>
      </c>
      <c r="G47" s="5" t="s">
        <v>346</v>
      </c>
      <c r="H47" s="5" t="s">
        <v>349</v>
      </c>
      <c r="I47" s="8" t="s">
        <v>259</v>
      </c>
      <c r="J47" s="8" t="s">
        <v>245</v>
      </c>
      <c r="K47" s="8" t="s">
        <v>357</v>
      </c>
      <c r="L47" s="8" t="s">
        <v>261</v>
      </c>
      <c r="M47" s="8" t="s">
        <v>358</v>
      </c>
      <c r="N47" s="8" t="s">
        <v>39</v>
      </c>
      <c r="O47" s="8" t="s">
        <v>359</v>
      </c>
      <c r="P47" s="8" t="s">
        <v>360</v>
      </c>
    </row>
    <row r="48" customFormat="false" ht="31.5" hidden="false" customHeight="true" outlineLevel="0" collapsed="false">
      <c r="A48" s="5" t="s">
        <v>346</v>
      </c>
      <c r="B48" s="6" t="s">
        <v>361</v>
      </c>
      <c r="C48" s="7" t="s">
        <v>362</v>
      </c>
      <c r="D48" s="8" t="s">
        <v>57</v>
      </c>
      <c r="E48" s="10" t="s">
        <v>138</v>
      </c>
      <c r="F48" s="8" t="s">
        <v>23</v>
      </c>
      <c r="G48" s="5" t="s">
        <v>346</v>
      </c>
      <c r="H48" s="5" t="s">
        <v>349</v>
      </c>
      <c r="I48" s="8" t="s">
        <v>363</v>
      </c>
      <c r="J48" s="8" t="s">
        <v>364</v>
      </c>
      <c r="K48" s="8" t="s">
        <v>357</v>
      </c>
      <c r="L48" s="8" t="s">
        <v>365</v>
      </c>
      <c r="M48" s="8" t="s">
        <v>39</v>
      </c>
      <c r="N48" s="8" t="s">
        <v>39</v>
      </c>
      <c r="O48" s="8" t="s">
        <v>366</v>
      </c>
      <c r="P48" s="8" t="s">
        <v>360</v>
      </c>
    </row>
    <row r="49" customFormat="false" ht="31.5" hidden="false" customHeight="true" outlineLevel="0" collapsed="false">
      <c r="A49" s="5" t="s">
        <v>346</v>
      </c>
      <c r="B49" s="6" t="s">
        <v>367</v>
      </c>
      <c r="C49" s="7" t="s">
        <v>368</v>
      </c>
      <c r="D49" s="8" t="s">
        <v>330</v>
      </c>
      <c r="E49" s="10" t="s">
        <v>138</v>
      </c>
      <c r="F49" s="8" t="s">
        <v>23</v>
      </c>
      <c r="G49" s="5" t="s">
        <v>346</v>
      </c>
      <c r="H49" s="5" t="s">
        <v>349</v>
      </c>
      <c r="I49" s="8" t="s">
        <v>331</v>
      </c>
      <c r="J49" s="8" t="s">
        <v>369</v>
      </c>
      <c r="K49" s="8" t="s">
        <v>370</v>
      </c>
      <c r="L49" s="8" t="s">
        <v>371</v>
      </c>
      <c r="M49" s="8" t="s">
        <v>372</v>
      </c>
      <c r="N49" s="8" t="s">
        <v>63</v>
      </c>
      <c r="O49" s="8" t="s">
        <v>373</v>
      </c>
      <c r="P49" s="8" t="s">
        <v>374</v>
      </c>
    </row>
    <row r="50" customFormat="false" ht="19.5" hidden="false" customHeight="true" outlineLevel="0" collapsed="false">
      <c r="A50" s="5" t="s">
        <v>346</v>
      </c>
      <c r="B50" s="6" t="s">
        <v>375</v>
      </c>
      <c r="C50" s="7" t="s">
        <v>376</v>
      </c>
      <c r="D50" s="8" t="s">
        <v>21</v>
      </c>
      <c r="E50" s="11" t="s">
        <v>377</v>
      </c>
      <c r="F50" s="8" t="s">
        <v>23</v>
      </c>
      <c r="G50" s="5" t="s">
        <v>346</v>
      </c>
      <c r="H50" s="5" t="s">
        <v>349</v>
      </c>
      <c r="I50" s="8" t="s">
        <v>378</v>
      </c>
      <c r="J50" s="8" t="s">
        <v>379</v>
      </c>
      <c r="K50" s="8" t="s">
        <v>380</v>
      </c>
      <c r="L50" s="8" t="s">
        <v>39</v>
      </c>
      <c r="M50" s="8" t="s">
        <v>39</v>
      </c>
      <c r="N50" s="8" t="s">
        <v>39</v>
      </c>
      <c r="O50" s="8" t="s">
        <v>381</v>
      </c>
      <c r="P50" s="8" t="s">
        <v>382</v>
      </c>
    </row>
    <row r="51" customFormat="false" ht="31.5" hidden="false" customHeight="true" outlineLevel="0" collapsed="false">
      <c r="A51" s="5" t="s">
        <v>346</v>
      </c>
      <c r="B51" s="6" t="s">
        <v>383</v>
      </c>
      <c r="C51" s="7" t="s">
        <v>384</v>
      </c>
      <c r="D51" s="8" t="s">
        <v>217</v>
      </c>
      <c r="E51" s="11" t="s">
        <v>377</v>
      </c>
      <c r="F51" s="8" t="s">
        <v>23</v>
      </c>
      <c r="G51" s="5" t="s">
        <v>346</v>
      </c>
      <c r="H51" s="5" t="s">
        <v>349</v>
      </c>
      <c r="I51" s="8" t="s">
        <v>220</v>
      </c>
      <c r="J51" s="8" t="s">
        <v>385</v>
      </c>
      <c r="K51" s="8" t="s">
        <v>357</v>
      </c>
      <c r="L51" s="8" t="s">
        <v>223</v>
      </c>
      <c r="M51" s="8" t="s">
        <v>302</v>
      </c>
      <c r="N51" s="8" t="s">
        <v>39</v>
      </c>
      <c r="O51" s="8" t="s">
        <v>386</v>
      </c>
      <c r="P51" s="8" t="s">
        <v>360</v>
      </c>
    </row>
    <row r="52" customFormat="false" ht="31.5" hidden="false" customHeight="true" outlineLevel="0" collapsed="false">
      <c r="A52" s="5" t="s">
        <v>346</v>
      </c>
      <c r="B52" s="6" t="s">
        <v>387</v>
      </c>
      <c r="C52" s="7" t="s">
        <v>388</v>
      </c>
      <c r="D52" s="8" t="s">
        <v>389</v>
      </c>
      <c r="E52" s="11" t="s">
        <v>377</v>
      </c>
      <c r="F52" s="8" t="s">
        <v>68</v>
      </c>
      <c r="G52" s="5" t="s">
        <v>346</v>
      </c>
      <c r="H52" s="5" t="s">
        <v>349</v>
      </c>
      <c r="I52" s="8" t="s">
        <v>390</v>
      </c>
      <c r="J52" s="8" t="s">
        <v>369</v>
      </c>
      <c r="K52" s="8" t="s">
        <v>357</v>
      </c>
      <c r="L52" s="8" t="s">
        <v>132</v>
      </c>
      <c r="M52" s="8" t="s">
        <v>391</v>
      </c>
      <c r="N52" s="8" t="s">
        <v>39</v>
      </c>
      <c r="O52" s="8" t="s">
        <v>392</v>
      </c>
      <c r="P52" s="8" t="s">
        <v>360</v>
      </c>
    </row>
    <row r="53" customFormat="false" ht="31.5" hidden="false" customHeight="true" outlineLevel="0" collapsed="false">
      <c r="A53" s="5" t="s">
        <v>346</v>
      </c>
      <c r="B53" s="6" t="s">
        <v>393</v>
      </c>
      <c r="C53" s="7" t="s">
        <v>394</v>
      </c>
      <c r="D53" s="8" t="s">
        <v>21</v>
      </c>
      <c r="E53" s="11" t="s">
        <v>377</v>
      </c>
      <c r="F53" s="8" t="s">
        <v>23</v>
      </c>
      <c r="G53" s="5" t="s">
        <v>346</v>
      </c>
      <c r="H53" s="5" t="s">
        <v>349</v>
      </c>
      <c r="I53" s="8" t="s">
        <v>395</v>
      </c>
      <c r="J53" s="8" t="s">
        <v>396</v>
      </c>
      <c r="K53" s="8" t="s">
        <v>397</v>
      </c>
      <c r="L53" s="8" t="s">
        <v>398</v>
      </c>
      <c r="M53" s="8" t="s">
        <v>399</v>
      </c>
      <c r="N53" s="8" t="s">
        <v>39</v>
      </c>
      <c r="O53" s="8" t="s">
        <v>400</v>
      </c>
      <c r="P53" s="8" t="s">
        <v>401</v>
      </c>
    </row>
    <row r="54" customFormat="false" ht="31.5" hidden="false" customHeight="true" outlineLevel="0" collapsed="false">
      <c r="A54" s="5" t="s">
        <v>402</v>
      </c>
      <c r="B54" s="6" t="s">
        <v>403</v>
      </c>
      <c r="C54" s="7" t="s">
        <v>404</v>
      </c>
      <c r="D54" s="8" t="s">
        <v>21</v>
      </c>
      <c r="E54" s="11" t="s">
        <v>377</v>
      </c>
      <c r="F54" s="8" t="s">
        <v>23</v>
      </c>
      <c r="G54" s="5" t="s">
        <v>402</v>
      </c>
      <c r="H54" s="5" t="s">
        <v>405</v>
      </c>
      <c r="I54" s="8" t="s">
        <v>406</v>
      </c>
      <c r="J54" s="8" t="s">
        <v>407</v>
      </c>
      <c r="K54" s="8" t="s">
        <v>357</v>
      </c>
      <c r="L54" s="8" t="s">
        <v>39</v>
      </c>
      <c r="M54" s="8" t="s">
        <v>408</v>
      </c>
      <c r="N54" s="8" t="s">
        <v>39</v>
      </c>
      <c r="O54" s="8" t="s">
        <v>409</v>
      </c>
      <c r="P54" s="8" t="s">
        <v>402</v>
      </c>
    </row>
    <row r="55" customFormat="false" ht="31.5" hidden="false" customHeight="true" outlineLevel="0" collapsed="false">
      <c r="A55" s="5" t="s">
        <v>402</v>
      </c>
      <c r="B55" s="6" t="s">
        <v>410</v>
      </c>
      <c r="C55" s="7" t="s">
        <v>411</v>
      </c>
      <c r="D55" s="8" t="s">
        <v>21</v>
      </c>
      <c r="E55" s="11" t="s">
        <v>377</v>
      </c>
      <c r="F55" s="8" t="s">
        <v>23</v>
      </c>
      <c r="G55" s="5" t="s">
        <v>402</v>
      </c>
      <c r="H55" s="5" t="s">
        <v>405</v>
      </c>
      <c r="I55" s="8" t="s">
        <v>412</v>
      </c>
      <c r="J55" s="8" t="s">
        <v>245</v>
      </c>
      <c r="K55" s="8" t="s">
        <v>357</v>
      </c>
      <c r="L55" s="8" t="s">
        <v>413</v>
      </c>
      <c r="M55" s="8" t="s">
        <v>39</v>
      </c>
      <c r="N55" s="8" t="s">
        <v>39</v>
      </c>
      <c r="O55" s="8" t="s">
        <v>414</v>
      </c>
      <c r="P55" s="8" t="s">
        <v>402</v>
      </c>
    </row>
    <row r="56" customFormat="false" ht="19.5" hidden="false" customHeight="true" outlineLevel="0" collapsed="false">
      <c r="A56" s="5" t="s">
        <v>402</v>
      </c>
      <c r="B56" s="6" t="s">
        <v>415</v>
      </c>
      <c r="C56" s="7" t="s">
        <v>416</v>
      </c>
      <c r="D56" s="8" t="s">
        <v>21</v>
      </c>
      <c r="E56" s="11" t="s">
        <v>377</v>
      </c>
      <c r="F56" s="8" t="s">
        <v>23</v>
      </c>
      <c r="G56" s="5" t="s">
        <v>402</v>
      </c>
      <c r="H56" s="5" t="s">
        <v>405</v>
      </c>
      <c r="I56" s="8" t="s">
        <v>191</v>
      </c>
      <c r="J56" s="8" t="s">
        <v>417</v>
      </c>
      <c r="K56" s="8" t="s">
        <v>357</v>
      </c>
      <c r="L56" s="8" t="s">
        <v>39</v>
      </c>
      <c r="M56" s="8" t="s">
        <v>39</v>
      </c>
      <c r="N56" s="8" t="s">
        <v>39</v>
      </c>
      <c r="O56" s="8" t="s">
        <v>418</v>
      </c>
      <c r="P56" s="8" t="s">
        <v>402</v>
      </c>
    </row>
    <row r="57" customFormat="false" ht="31.5" hidden="false" customHeight="true" outlineLevel="0" collapsed="false">
      <c r="A57" s="5" t="s">
        <v>402</v>
      </c>
      <c r="B57" s="6" t="s">
        <v>419</v>
      </c>
      <c r="C57" s="7" t="s">
        <v>420</v>
      </c>
      <c r="D57" s="8" t="s">
        <v>57</v>
      </c>
      <c r="E57" s="11" t="s">
        <v>377</v>
      </c>
      <c r="F57" s="8" t="s">
        <v>68</v>
      </c>
      <c r="G57" s="5" t="s">
        <v>402</v>
      </c>
      <c r="H57" s="5" t="s">
        <v>405</v>
      </c>
      <c r="I57" s="8" t="s">
        <v>69</v>
      </c>
      <c r="J57" s="8" t="s">
        <v>421</v>
      </c>
      <c r="K57" s="8" t="s">
        <v>422</v>
      </c>
      <c r="L57" s="8" t="s">
        <v>423</v>
      </c>
      <c r="M57" s="8" t="s">
        <v>39</v>
      </c>
      <c r="N57" s="8" t="s">
        <v>39</v>
      </c>
      <c r="O57" s="8" t="s">
        <v>424</v>
      </c>
      <c r="P57" s="8" t="s">
        <v>425</v>
      </c>
    </row>
  </sheetData>
  <autoFilter ref="A4:P5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2"/>
  </cols>
  <sheetData>
    <row r="1" customFormat="false" ht="17.35" hidden="false" customHeight="false" outlineLevel="0" collapsed="false">
      <c r="A1" s="2" t="s">
        <v>426</v>
      </c>
    </row>
    <row r="3" customFormat="false" ht="15" hidden="false" customHeight="false" outlineLevel="0" collapsed="false">
      <c r="A3" s="12" t="s">
        <v>427</v>
      </c>
    </row>
    <row r="4" customFormat="false" ht="15" hidden="false" customHeight="false" outlineLevel="0" collapsed="false">
      <c r="A4" s="13" t="s">
        <v>8</v>
      </c>
      <c r="B4" s="14" t="s">
        <v>428</v>
      </c>
      <c r="C4" s="14" t="s">
        <v>429</v>
      </c>
      <c r="D4" s="14" t="s">
        <v>430</v>
      </c>
      <c r="E4" s="14" t="s">
        <v>431</v>
      </c>
    </row>
    <row r="5" customFormat="false" ht="15" hidden="false" customHeight="false" outlineLevel="0" collapsed="false">
      <c r="A5" s="15" t="s">
        <v>24</v>
      </c>
      <c r="B5" s="16" t="n">
        <f aca="false">COUNTIFS(Traceability!$G$5:$G$57,$A5,Traceability!$E$5:$E$57,"Must Have")</f>
        <v>9</v>
      </c>
      <c r="C5" s="16" t="n">
        <f aca="false">COUNTIFS(Traceability!$G$5:$G$57,$A5,Traceability!$E$5:$E$57,"Should Have")</f>
        <v>0</v>
      </c>
      <c r="D5" s="16" t="n">
        <f aca="false">COUNTIFS(Traceability!$G$5:$G$57,$A5,Traceability!$E$5:$E$57,"Could Have")</f>
        <v>0</v>
      </c>
      <c r="E5" s="16" t="n">
        <f aca="false">SUM(B5:D5)</f>
        <v>9</v>
      </c>
    </row>
    <row r="6" customFormat="false" ht="15" hidden="false" customHeight="false" outlineLevel="0" collapsed="false">
      <c r="A6" s="15" t="s">
        <v>100</v>
      </c>
      <c r="B6" s="16" t="n">
        <f aca="false">COUNTIFS(Traceability!$G$5:$G$57,$A6,Traceability!$E$5:$E$57,"Must Have")</f>
        <v>5</v>
      </c>
      <c r="C6" s="16" t="n">
        <f aca="false">COUNTIFS(Traceability!$G$5:$G$57,$A6,Traceability!$E$5:$E$57,"Should Have")</f>
        <v>1</v>
      </c>
      <c r="D6" s="16" t="n">
        <f aca="false">COUNTIFS(Traceability!$G$5:$G$57,$A6,Traceability!$E$5:$E$57,"Could Have")</f>
        <v>0</v>
      </c>
      <c r="E6" s="16" t="n">
        <f aca="false">SUM(B6:D6)</f>
        <v>6</v>
      </c>
    </row>
    <row r="7" customFormat="false" ht="15" hidden="false" customHeight="false" outlineLevel="0" collapsed="false">
      <c r="A7" s="15" t="s">
        <v>144</v>
      </c>
      <c r="B7" s="16" t="n">
        <f aca="false">COUNTIFS(Traceability!$G$5:$G$57,$A7,Traceability!$E$5:$E$57,"Must Have")</f>
        <v>6</v>
      </c>
      <c r="C7" s="16" t="n">
        <f aca="false">COUNTIFS(Traceability!$G$5:$G$57,$A7,Traceability!$E$5:$E$57,"Should Have")</f>
        <v>4</v>
      </c>
      <c r="D7" s="16" t="n">
        <f aca="false">COUNTIFS(Traceability!$G$5:$G$57,$A7,Traceability!$E$5:$E$57,"Could Have")</f>
        <v>0</v>
      </c>
      <c r="E7" s="16" t="n">
        <f aca="false">SUM(B7:D7)</f>
        <v>10</v>
      </c>
    </row>
    <row r="8" customFormat="false" ht="15" hidden="false" customHeight="false" outlineLevel="0" collapsed="false">
      <c r="A8" s="15" t="s">
        <v>218</v>
      </c>
      <c r="B8" s="16" t="n">
        <f aca="false">COUNTIFS(Traceability!$G$5:$G$57,$A8,Traceability!$E$5:$E$57,"Must Have")</f>
        <v>4</v>
      </c>
      <c r="C8" s="16" t="n">
        <f aca="false">COUNTIFS(Traceability!$G$5:$G$57,$A8,Traceability!$E$5:$E$57,"Should Have")</f>
        <v>9</v>
      </c>
      <c r="D8" s="16" t="n">
        <f aca="false">COUNTIFS(Traceability!$G$5:$G$57,$A8,Traceability!$E$5:$E$57,"Could Have")</f>
        <v>0</v>
      </c>
      <c r="E8" s="16" t="n">
        <f aca="false">SUM(B8:D8)</f>
        <v>13</v>
      </c>
    </row>
    <row r="9" customFormat="false" ht="15" hidden="false" customHeight="false" outlineLevel="0" collapsed="false">
      <c r="A9" s="15" t="s">
        <v>320</v>
      </c>
      <c r="B9" s="16" t="n">
        <f aca="false">COUNTIFS(Traceability!$G$5:$G$57,$A9,Traceability!$E$5:$E$57,"Must Have")</f>
        <v>2</v>
      </c>
      <c r="C9" s="16" t="n">
        <f aca="false">COUNTIFS(Traceability!$G$5:$G$57,$A9,Traceability!$E$5:$E$57,"Should Have")</f>
        <v>1</v>
      </c>
      <c r="D9" s="16" t="n">
        <f aca="false">COUNTIFS(Traceability!$G$5:$G$57,$A9,Traceability!$E$5:$E$57,"Could Have")</f>
        <v>0</v>
      </c>
      <c r="E9" s="16" t="n">
        <f aca="false">SUM(B9:D9)</f>
        <v>3</v>
      </c>
    </row>
    <row r="10" customFormat="false" ht="15" hidden="false" customHeight="false" outlineLevel="0" collapsed="false">
      <c r="A10" s="15" t="s">
        <v>346</v>
      </c>
      <c r="B10" s="16" t="n">
        <f aca="false">COUNTIFS(Traceability!$G$5:$G$57,$A10,Traceability!$E$5:$E$57,"Must Have")</f>
        <v>0</v>
      </c>
      <c r="C10" s="16" t="n">
        <f aca="false">COUNTIFS(Traceability!$G$5:$G$57,$A10,Traceability!$E$5:$E$57,"Should Have")</f>
        <v>4</v>
      </c>
      <c r="D10" s="16" t="n">
        <f aca="false">COUNTIFS(Traceability!$G$5:$G$57,$A10,Traceability!$E$5:$E$57,"Could Have")</f>
        <v>4</v>
      </c>
      <c r="E10" s="16" t="n">
        <f aca="false">SUM(B10:D10)</f>
        <v>8</v>
      </c>
    </row>
    <row r="11" customFormat="false" ht="15" hidden="false" customHeight="false" outlineLevel="0" collapsed="false">
      <c r="A11" s="15" t="s">
        <v>402</v>
      </c>
      <c r="B11" s="16" t="n">
        <f aca="false">COUNTIFS(Traceability!$G$5:$G$57,$A11,Traceability!$E$5:$E$57,"Must Have")</f>
        <v>0</v>
      </c>
      <c r="C11" s="16" t="n">
        <f aca="false">COUNTIFS(Traceability!$G$5:$G$57,$A11,Traceability!$E$5:$E$57,"Should Have")</f>
        <v>0</v>
      </c>
      <c r="D11" s="16" t="n">
        <f aca="false">COUNTIFS(Traceability!$G$5:$G$57,$A11,Traceability!$E$5:$E$57,"Could Have")</f>
        <v>4</v>
      </c>
      <c r="E11" s="16" t="n">
        <f aca="false">SUM(B11:D11)</f>
        <v>4</v>
      </c>
    </row>
    <row r="12" customFormat="false" ht="15" hidden="false" customHeight="false" outlineLevel="0" collapsed="false">
      <c r="A12" s="17" t="s">
        <v>431</v>
      </c>
      <c r="B12" s="18" t="n">
        <f aca="false">SUM(B5:B11)</f>
        <v>26</v>
      </c>
      <c r="C12" s="18" t="n">
        <f aca="false">SUM(C5:C11)</f>
        <v>19</v>
      </c>
      <c r="D12" s="18" t="n">
        <f aca="false">SUM(D5:D11)</f>
        <v>8</v>
      </c>
      <c r="E12" s="18" t="n">
        <f aca="false">SUM(E5:E11)</f>
        <v>53</v>
      </c>
    </row>
    <row r="14" customFormat="false" ht="15" hidden="false" customHeight="false" outlineLevel="0" collapsed="false">
      <c r="A14" s="12" t="s">
        <v>432</v>
      </c>
    </row>
    <row r="15" customFormat="false" ht="15" hidden="false" customHeight="false" outlineLevel="0" collapsed="false">
      <c r="A15" s="13" t="s">
        <v>7</v>
      </c>
      <c r="B15" s="14" t="s">
        <v>433</v>
      </c>
    </row>
    <row r="16" customFormat="false" ht="15" hidden="false" customHeight="false" outlineLevel="0" collapsed="false">
      <c r="A16" s="15" t="s">
        <v>23</v>
      </c>
      <c r="B16" s="16" t="n">
        <f aca="false">COUNTIF(Traceability!$F$5:$F$57,$A16)</f>
        <v>40</v>
      </c>
    </row>
    <row r="17" customFormat="false" ht="15" hidden="false" customHeight="false" outlineLevel="0" collapsed="false">
      <c r="A17" s="15" t="s">
        <v>68</v>
      </c>
      <c r="B17" s="16" t="n">
        <f aca="false">COUNTIF(Traceability!$F$5:$F$57,$A17)</f>
        <v>13</v>
      </c>
    </row>
    <row r="18" customFormat="false" ht="15" hidden="false" customHeight="false" outlineLevel="0" collapsed="false">
      <c r="A18" s="15" t="s">
        <v>434</v>
      </c>
      <c r="B18" s="16" t="n">
        <f aca="false">COUNTIF(Traceability!$F$5:$F$57,$A18)</f>
        <v>0</v>
      </c>
    </row>
    <row r="19" customFormat="false" ht="15" hidden="false" customHeight="false" outlineLevel="0" collapsed="false">
      <c r="A19" s="15" t="s">
        <v>435</v>
      </c>
      <c r="B19" s="16" t="n">
        <f aca="false">COUNTIF(Traceability!$F$5:$F$57,$A19)</f>
        <v>0</v>
      </c>
    </row>
    <row r="20" customFormat="false" ht="15" hidden="false" customHeight="false" outlineLevel="0" collapsed="false">
      <c r="A20" s="15" t="s">
        <v>436</v>
      </c>
      <c r="B20" s="16" t="n">
        <f aca="false">COUNTIF(Traceability!$F$5:$F$57,$A20)</f>
        <v>0</v>
      </c>
    </row>
    <row r="21" customFormat="false" ht="15" hidden="false" customHeight="false" outlineLevel="0" collapsed="false">
      <c r="A21" s="15" t="s">
        <v>437</v>
      </c>
      <c r="B21" s="16" t="n">
        <f aca="false">COUNTIF(Traceability!$F$5:$F$57,$A21)</f>
        <v>0</v>
      </c>
    </row>
    <row r="22" customFormat="false" ht="15" hidden="false" customHeight="false" outlineLevel="0" collapsed="false">
      <c r="A22" s="15" t="s">
        <v>438</v>
      </c>
      <c r="B22" s="16" t="n">
        <f aca="false">COUNTIF(Traceability!$F$5:$F$57,$A22)</f>
        <v>0</v>
      </c>
    </row>
    <row r="23" customFormat="false" ht="15" hidden="false" customHeight="false" outlineLevel="0" collapsed="false">
      <c r="A23" s="17" t="s">
        <v>431</v>
      </c>
      <c r="B23" s="18" t="n">
        <f aca="false">SUM(B16:B22)</f>
        <v>53</v>
      </c>
    </row>
    <row r="25" customFormat="false" ht="15" hidden="false" customHeight="false" outlineLevel="0" collapsed="false">
      <c r="A25" s="12" t="s">
        <v>439</v>
      </c>
    </row>
    <row r="26" customFormat="false" ht="15" hidden="false" customHeight="false" outlineLevel="0" collapsed="false">
      <c r="A26" s="13" t="s">
        <v>440</v>
      </c>
      <c r="B26" s="14" t="s">
        <v>441</v>
      </c>
    </row>
    <row r="27" customFormat="false" ht="15" hidden="false" customHeight="false" outlineLevel="0" collapsed="false">
      <c r="A27" s="15" t="s">
        <v>442</v>
      </c>
      <c r="B27" s="16" t="n">
        <f aca="false">COUNTA(Traceability!$B$5:$B$57)</f>
        <v>53</v>
      </c>
    </row>
    <row r="28" customFormat="false" ht="15" hidden="false" customHeight="false" outlineLevel="0" collapsed="false">
      <c r="A28" s="15" t="s">
        <v>443</v>
      </c>
      <c r="B28" s="16" t="n">
        <f aca="false">COUNTIF(Traceability!$K$5:$K$57,"*/api/v1/*")+COUNTIF(Traceability!$K$5:$K$57,"*/healthz*")</f>
        <v>44</v>
      </c>
    </row>
    <row r="29" customFormat="false" ht="15" hidden="false" customHeight="false" outlineLevel="0" collapsed="false">
      <c r="A29" s="15" t="s">
        <v>444</v>
      </c>
      <c r="B29" s="16" t="n">
        <f aca="false">COUNTIF(Traceability!$K$5:$K$57,"Planned*")</f>
        <v>7</v>
      </c>
    </row>
    <row r="30" customFormat="false" ht="15" hidden="false" customHeight="false" outlineLevel="0" collapsed="false">
      <c r="A30" s="15" t="s">
        <v>445</v>
      </c>
      <c r="B30" s="16" t="n">
        <f aca="false">COUNTIF(Traceability!$K$5:$K$57,"Reuses*")</f>
        <v>1</v>
      </c>
    </row>
    <row r="31" customFormat="false" ht="15" hidden="false" customHeight="false" outlineLevel="0" collapsed="false">
      <c r="A31" s="15" t="s">
        <v>446</v>
      </c>
      <c r="B31" s="16" t="n">
        <f aca="false">COUNTIF(Traceability!$K$5:$K$57,"None*")</f>
        <v>1</v>
      </c>
    </row>
    <row r="32" customFormat="false" ht="15" hidden="false" customHeight="false" outlineLevel="0" collapsed="false">
      <c r="A32" s="15" t="s">
        <v>447</v>
      </c>
      <c r="B32" s="16" t="str">
        <f aca="false">IF(B27=B28+B29+B30+B31,"OK","MISMATCH")</f>
        <v>OK</v>
      </c>
    </row>
    <row r="34" customFormat="false" ht="15" hidden="false" customHeight="false" outlineLevel="0" collapsed="false">
      <c r="A34" s="19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70"/>
    <col collapsed="false" customWidth="true" hidden="false" outlineLevel="0" max="3" min="3" style="1" width="40"/>
    <col collapsed="false" customWidth="true" hidden="false" outlineLevel="0" max="4" min="4" style="1" width="46"/>
  </cols>
  <sheetData>
    <row r="1" customFormat="false" ht="17.35" hidden="false" customHeight="false" outlineLevel="0" collapsed="false">
      <c r="A1" s="2" t="s">
        <v>449</v>
      </c>
    </row>
    <row r="3" customFormat="false" ht="15" hidden="false" customHeight="false" outlineLevel="0" collapsed="false">
      <c r="A3" s="20" t="s">
        <v>450</v>
      </c>
      <c r="B3" s="20" t="s">
        <v>451</v>
      </c>
      <c r="C3" s="20" t="s">
        <v>452</v>
      </c>
      <c r="D3" s="20" t="s">
        <v>453</v>
      </c>
    </row>
    <row r="4" customFormat="false" ht="15" hidden="false" customHeight="false" outlineLevel="0" collapsed="false">
      <c r="A4" s="21" t="s">
        <v>454</v>
      </c>
      <c r="B4" s="21" t="s">
        <v>455</v>
      </c>
      <c r="C4" s="21" t="s">
        <v>91</v>
      </c>
      <c r="D4" s="21"/>
    </row>
    <row r="5" customFormat="false" ht="15" hidden="false" customHeight="false" outlineLevel="0" collapsed="false">
      <c r="A5" s="21" t="s">
        <v>456</v>
      </c>
      <c r="B5" s="21" t="s">
        <v>457</v>
      </c>
      <c r="C5" s="21" t="s">
        <v>66</v>
      </c>
      <c r="D5" s="21"/>
    </row>
    <row r="6" customFormat="false" ht="15" hidden="false" customHeight="false" outlineLevel="0" collapsed="false">
      <c r="A6" s="21" t="s">
        <v>454</v>
      </c>
      <c r="B6" s="21" t="s">
        <v>458</v>
      </c>
      <c r="C6" s="21" t="s">
        <v>66</v>
      </c>
      <c r="D6" s="21"/>
    </row>
    <row r="7" customFormat="false" ht="15" hidden="false" customHeight="false" outlineLevel="0" collapsed="false">
      <c r="A7" s="21" t="s">
        <v>456</v>
      </c>
      <c r="B7" s="21" t="s">
        <v>458</v>
      </c>
      <c r="C7" s="21" t="s">
        <v>419</v>
      </c>
      <c r="D7" s="21"/>
    </row>
    <row r="8" customFormat="false" ht="15" hidden="false" customHeight="false" outlineLevel="0" collapsed="false">
      <c r="A8" s="21" t="s">
        <v>454</v>
      </c>
      <c r="B8" s="21" t="s">
        <v>459</v>
      </c>
      <c r="C8" s="21" t="s">
        <v>66</v>
      </c>
      <c r="D8" s="21"/>
    </row>
    <row r="9" customFormat="false" ht="15" hidden="false" customHeight="false" outlineLevel="0" collapsed="false">
      <c r="A9" s="21" t="s">
        <v>456</v>
      </c>
      <c r="B9" s="21" t="s">
        <v>460</v>
      </c>
      <c r="C9" s="21" t="s">
        <v>66</v>
      </c>
      <c r="D9" s="21"/>
    </row>
    <row r="10" customFormat="false" ht="15" hidden="false" customHeight="false" outlineLevel="0" collapsed="false">
      <c r="A10" s="21" t="s">
        <v>456</v>
      </c>
      <c r="B10" s="21" t="s">
        <v>461</v>
      </c>
      <c r="C10" s="21" t="s">
        <v>234</v>
      </c>
      <c r="D10" s="21"/>
    </row>
    <row r="11" customFormat="false" ht="15" hidden="false" customHeight="false" outlineLevel="0" collapsed="false">
      <c r="A11" s="21" t="s">
        <v>454</v>
      </c>
      <c r="B11" s="21" t="s">
        <v>462</v>
      </c>
      <c r="C11" s="21" t="s">
        <v>311</v>
      </c>
      <c r="D11" s="21"/>
    </row>
    <row r="12" customFormat="false" ht="15" hidden="false" customHeight="false" outlineLevel="0" collapsed="false">
      <c r="A12" s="21" t="s">
        <v>454</v>
      </c>
      <c r="B12" s="21" t="s">
        <v>463</v>
      </c>
      <c r="C12" s="21" t="s">
        <v>76</v>
      </c>
      <c r="D12" s="21"/>
    </row>
    <row r="13" customFormat="false" ht="15" hidden="false" customHeight="false" outlineLevel="0" collapsed="false">
      <c r="A13" s="21" t="s">
        <v>456</v>
      </c>
      <c r="B13" s="21" t="s">
        <v>464</v>
      </c>
      <c r="C13" s="21" t="s">
        <v>76</v>
      </c>
      <c r="D13" s="21"/>
    </row>
    <row r="14" customFormat="false" ht="15" hidden="false" customHeight="false" outlineLevel="0" collapsed="false">
      <c r="A14" s="21" t="s">
        <v>454</v>
      </c>
      <c r="B14" s="21" t="s">
        <v>465</v>
      </c>
      <c r="C14" s="21" t="s">
        <v>234</v>
      </c>
      <c r="D14" s="21"/>
    </row>
    <row r="15" customFormat="false" ht="15" hidden="false" customHeight="false" outlineLevel="0" collapsed="false">
      <c r="A15" s="21" t="s">
        <v>454</v>
      </c>
      <c r="B15" s="21" t="s">
        <v>466</v>
      </c>
      <c r="C15" s="21" t="s">
        <v>55</v>
      </c>
      <c r="D15" s="21"/>
    </row>
    <row r="16" customFormat="false" ht="15" hidden="false" customHeight="false" outlineLevel="0" collapsed="false">
      <c r="A16" s="21" t="s">
        <v>467</v>
      </c>
      <c r="B16" s="21" t="s">
        <v>468</v>
      </c>
      <c r="C16" s="21" t="s">
        <v>55</v>
      </c>
      <c r="D16" s="21"/>
    </row>
    <row r="17" customFormat="false" ht="15" hidden="false" customHeight="false" outlineLevel="0" collapsed="false">
      <c r="A17" s="21" t="s">
        <v>454</v>
      </c>
      <c r="B17" s="21" t="s">
        <v>469</v>
      </c>
      <c r="C17" s="21" t="s">
        <v>470</v>
      </c>
      <c r="D17" s="21"/>
    </row>
    <row r="18" customFormat="false" ht="15" hidden="false" customHeight="false" outlineLevel="0" collapsed="false">
      <c r="A18" s="21" t="s">
        <v>456</v>
      </c>
      <c r="B18" s="21" t="s">
        <v>469</v>
      </c>
      <c r="C18" s="21" t="s">
        <v>328</v>
      </c>
      <c r="D18" s="21"/>
    </row>
    <row r="19" customFormat="false" ht="15" hidden="false" customHeight="false" outlineLevel="0" collapsed="false">
      <c r="A19" s="21" t="s">
        <v>471</v>
      </c>
      <c r="B19" s="21" t="s">
        <v>472</v>
      </c>
      <c r="C19" s="21" t="s">
        <v>328</v>
      </c>
      <c r="D19" s="21"/>
    </row>
    <row r="20" customFormat="false" ht="15" hidden="false" customHeight="false" outlineLevel="0" collapsed="false">
      <c r="A20" s="21" t="s">
        <v>456</v>
      </c>
      <c r="B20" s="21" t="s">
        <v>473</v>
      </c>
      <c r="C20" s="21" t="s">
        <v>39</v>
      </c>
      <c r="D20" s="21" t="s">
        <v>474</v>
      </c>
    </row>
    <row r="21" customFormat="false" ht="15" hidden="false" customHeight="false" outlineLevel="0" collapsed="false">
      <c r="A21" s="21" t="s">
        <v>456</v>
      </c>
      <c r="B21" s="21" t="s">
        <v>475</v>
      </c>
      <c r="C21" s="21" t="s">
        <v>39</v>
      </c>
      <c r="D21" s="21" t="s">
        <v>474</v>
      </c>
    </row>
    <row r="22" customFormat="false" ht="15" hidden="false" customHeight="false" outlineLevel="0" collapsed="false">
      <c r="A22" s="21" t="s">
        <v>456</v>
      </c>
      <c r="B22" s="21" t="s">
        <v>476</v>
      </c>
      <c r="C22" s="21" t="s">
        <v>39</v>
      </c>
      <c r="D22" s="21" t="s">
        <v>474</v>
      </c>
    </row>
    <row r="23" customFormat="false" ht="15" hidden="false" customHeight="false" outlineLevel="0" collapsed="false">
      <c r="A23" s="21" t="s">
        <v>456</v>
      </c>
      <c r="B23" s="21" t="s">
        <v>477</v>
      </c>
      <c r="C23" s="21" t="s">
        <v>39</v>
      </c>
      <c r="D23" s="21" t="s">
        <v>474</v>
      </c>
    </row>
    <row r="24" customFormat="false" ht="15" hidden="false" customHeight="false" outlineLevel="0" collapsed="false">
      <c r="A24" s="21" t="s">
        <v>456</v>
      </c>
      <c r="B24" s="21" t="s">
        <v>478</v>
      </c>
      <c r="C24" s="21" t="s">
        <v>39</v>
      </c>
      <c r="D24" s="21" t="s">
        <v>474</v>
      </c>
    </row>
    <row r="25" customFormat="false" ht="15" hidden="false" customHeight="false" outlineLevel="0" collapsed="false">
      <c r="A25" s="21" t="s">
        <v>456</v>
      </c>
      <c r="B25" s="21" t="s">
        <v>479</v>
      </c>
      <c r="C25" s="21" t="s">
        <v>347</v>
      </c>
      <c r="D25" s="21"/>
    </row>
    <row r="26" customFormat="false" ht="15" hidden="false" customHeight="false" outlineLevel="0" collapsed="false">
      <c r="A26" s="21" t="s">
        <v>456</v>
      </c>
      <c r="B26" s="21" t="s">
        <v>480</v>
      </c>
      <c r="C26" s="21" t="s">
        <v>481</v>
      </c>
      <c r="D26" s="21"/>
    </row>
    <row r="27" customFormat="false" ht="15" hidden="false" customHeight="false" outlineLevel="0" collapsed="false">
      <c r="A27" s="21" t="s">
        <v>456</v>
      </c>
      <c r="B27" s="21" t="s">
        <v>482</v>
      </c>
      <c r="C27" s="21" t="s">
        <v>197</v>
      </c>
      <c r="D27" s="21"/>
    </row>
    <row r="28" customFormat="false" ht="15" hidden="false" customHeight="false" outlineLevel="0" collapsed="false">
      <c r="A28" s="21" t="s">
        <v>456</v>
      </c>
      <c r="B28" s="21" t="s">
        <v>483</v>
      </c>
      <c r="C28" s="21" t="s">
        <v>484</v>
      </c>
      <c r="D28" s="21"/>
    </row>
    <row r="29" customFormat="false" ht="15" hidden="false" customHeight="false" outlineLevel="0" collapsed="false">
      <c r="A29" s="21" t="s">
        <v>454</v>
      </c>
      <c r="B29" s="21" t="s">
        <v>485</v>
      </c>
      <c r="C29" s="21" t="s">
        <v>130</v>
      </c>
      <c r="D29" s="21"/>
    </row>
    <row r="30" customFormat="false" ht="15" hidden="false" customHeight="false" outlineLevel="0" collapsed="false">
      <c r="A30" s="21" t="s">
        <v>454</v>
      </c>
      <c r="B30" s="21" t="s">
        <v>486</v>
      </c>
      <c r="C30" s="21" t="s">
        <v>130</v>
      </c>
      <c r="D30" s="21"/>
    </row>
    <row r="31" customFormat="false" ht="15" hidden="false" customHeight="false" outlineLevel="0" collapsed="false">
      <c r="A31" s="21" t="s">
        <v>456</v>
      </c>
      <c r="B31" s="21" t="s">
        <v>486</v>
      </c>
      <c r="C31" s="21" t="s">
        <v>82</v>
      </c>
      <c r="D31" s="21"/>
    </row>
    <row r="32" customFormat="false" ht="15" hidden="false" customHeight="false" outlineLevel="0" collapsed="false">
      <c r="A32" s="21" t="s">
        <v>456</v>
      </c>
      <c r="B32" s="21" t="s">
        <v>487</v>
      </c>
      <c r="C32" s="21" t="s">
        <v>304</v>
      </c>
      <c r="D32" s="21"/>
    </row>
    <row r="33" customFormat="false" ht="15" hidden="false" customHeight="false" outlineLevel="0" collapsed="false">
      <c r="A33" s="21" t="s">
        <v>456</v>
      </c>
      <c r="B33" s="21" t="s">
        <v>488</v>
      </c>
      <c r="C33" s="21" t="s">
        <v>280</v>
      </c>
      <c r="D33" s="21"/>
    </row>
    <row r="34" customFormat="false" ht="15" hidden="false" customHeight="false" outlineLevel="0" collapsed="false">
      <c r="A34" s="21" t="s">
        <v>456</v>
      </c>
      <c r="B34" s="21" t="s">
        <v>489</v>
      </c>
      <c r="C34" s="21" t="s">
        <v>296</v>
      </c>
      <c r="D34" s="21"/>
    </row>
    <row r="35" customFormat="false" ht="15" hidden="false" customHeight="false" outlineLevel="0" collapsed="false">
      <c r="A35" s="21" t="s">
        <v>456</v>
      </c>
      <c r="B35" s="21" t="s">
        <v>490</v>
      </c>
      <c r="C35" s="21" t="s">
        <v>289</v>
      </c>
      <c r="D35" s="21"/>
    </row>
    <row r="36" customFormat="false" ht="15" hidden="false" customHeight="false" outlineLevel="0" collapsed="false">
      <c r="A36" s="21" t="s">
        <v>454</v>
      </c>
      <c r="B36" s="21" t="s">
        <v>491</v>
      </c>
      <c r="C36" s="21" t="s">
        <v>273</v>
      </c>
      <c r="D36" s="21"/>
    </row>
    <row r="37" customFormat="false" ht="15" hidden="false" customHeight="false" outlineLevel="0" collapsed="false">
      <c r="A37" s="21" t="s">
        <v>467</v>
      </c>
      <c r="B37" s="21" t="s">
        <v>491</v>
      </c>
      <c r="C37" s="21" t="s">
        <v>273</v>
      </c>
      <c r="D37" s="21"/>
    </row>
    <row r="38" customFormat="false" ht="15" hidden="false" customHeight="false" outlineLevel="0" collapsed="false">
      <c r="A38" s="21" t="s">
        <v>454</v>
      </c>
      <c r="B38" s="21" t="s">
        <v>492</v>
      </c>
      <c r="C38" s="21" t="s">
        <v>210</v>
      </c>
      <c r="D38" s="21"/>
    </row>
    <row r="39" customFormat="false" ht="15" hidden="false" customHeight="false" outlineLevel="0" collapsed="false">
      <c r="A39" s="21" t="s">
        <v>467</v>
      </c>
      <c r="B39" s="21" t="s">
        <v>492</v>
      </c>
      <c r="C39" s="21" t="s">
        <v>210</v>
      </c>
      <c r="D39" s="21"/>
    </row>
    <row r="40" customFormat="false" ht="15" hidden="false" customHeight="false" outlineLevel="0" collapsed="false">
      <c r="A40" s="21" t="s">
        <v>454</v>
      </c>
      <c r="B40" s="21" t="s">
        <v>493</v>
      </c>
      <c r="C40" s="21" t="s">
        <v>265</v>
      </c>
      <c r="D40" s="21"/>
    </row>
    <row r="41" customFormat="false" ht="15" hidden="false" customHeight="false" outlineLevel="0" collapsed="false">
      <c r="A41" s="21" t="s">
        <v>456</v>
      </c>
      <c r="B41" s="21" t="s">
        <v>493</v>
      </c>
      <c r="C41" s="21" t="s">
        <v>265</v>
      </c>
      <c r="D41" s="21"/>
    </row>
    <row r="42" customFormat="false" ht="15" hidden="false" customHeight="false" outlineLevel="0" collapsed="false">
      <c r="A42" s="21" t="s">
        <v>471</v>
      </c>
      <c r="B42" s="21" t="s">
        <v>494</v>
      </c>
      <c r="C42" s="21" t="s">
        <v>265</v>
      </c>
      <c r="D42" s="21"/>
    </row>
    <row r="43" customFormat="false" ht="15" hidden="false" customHeight="false" outlineLevel="0" collapsed="false">
      <c r="A43" s="21" t="s">
        <v>454</v>
      </c>
      <c r="B43" s="21" t="s">
        <v>495</v>
      </c>
      <c r="C43" s="21" t="s">
        <v>49</v>
      </c>
      <c r="D43" s="21"/>
    </row>
    <row r="44" customFormat="false" ht="15" hidden="false" customHeight="false" outlineLevel="0" collapsed="false">
      <c r="A44" s="21" t="s">
        <v>456</v>
      </c>
      <c r="B44" s="21" t="s">
        <v>496</v>
      </c>
      <c r="C44" s="21" t="s">
        <v>33</v>
      </c>
      <c r="D44" s="21"/>
    </row>
    <row r="45" customFormat="false" ht="15" hidden="false" customHeight="false" outlineLevel="0" collapsed="false">
      <c r="A45" s="21" t="s">
        <v>456</v>
      </c>
      <c r="B45" s="21" t="s">
        <v>497</v>
      </c>
      <c r="C45" s="21" t="s">
        <v>498</v>
      </c>
      <c r="D45" s="21"/>
    </row>
    <row r="46" customFormat="false" ht="15" hidden="false" customHeight="false" outlineLevel="0" collapsed="false">
      <c r="A46" s="21" t="s">
        <v>454</v>
      </c>
      <c r="B46" s="21" t="s">
        <v>499</v>
      </c>
      <c r="C46" s="21" t="s">
        <v>41</v>
      </c>
      <c r="D46" s="21"/>
    </row>
    <row r="47" customFormat="false" ht="15" hidden="false" customHeight="false" outlineLevel="0" collapsed="false">
      <c r="A47" s="21" t="s">
        <v>456</v>
      </c>
      <c r="B47" s="21" t="s">
        <v>500</v>
      </c>
      <c r="C47" s="21" t="s">
        <v>501</v>
      </c>
      <c r="D47" s="21"/>
    </row>
    <row r="48" customFormat="false" ht="15" hidden="false" customHeight="false" outlineLevel="0" collapsed="false">
      <c r="A48" s="21" t="s">
        <v>456</v>
      </c>
      <c r="B48" s="21" t="s">
        <v>502</v>
      </c>
      <c r="C48" s="21" t="s">
        <v>165</v>
      </c>
      <c r="D48" s="21"/>
    </row>
    <row r="49" customFormat="false" ht="15" hidden="false" customHeight="false" outlineLevel="0" collapsed="false">
      <c r="A49" s="21" t="s">
        <v>454</v>
      </c>
      <c r="B49" s="21" t="s">
        <v>503</v>
      </c>
      <c r="C49" s="21" t="s">
        <v>189</v>
      </c>
      <c r="D49" s="21"/>
    </row>
    <row r="50" customFormat="false" ht="15" hidden="false" customHeight="false" outlineLevel="0" collapsed="false">
      <c r="A50" s="21" t="s">
        <v>456</v>
      </c>
      <c r="B50" s="21" t="s">
        <v>503</v>
      </c>
      <c r="C50" s="21" t="s">
        <v>189</v>
      </c>
      <c r="D50" s="21"/>
    </row>
    <row r="51" customFormat="false" ht="15" hidden="false" customHeight="false" outlineLevel="0" collapsed="false">
      <c r="A51" s="21" t="s">
        <v>471</v>
      </c>
      <c r="B51" s="21" t="s">
        <v>504</v>
      </c>
      <c r="C51" s="21" t="s">
        <v>189</v>
      </c>
      <c r="D51" s="21"/>
    </row>
    <row r="52" customFormat="false" ht="15" hidden="false" customHeight="false" outlineLevel="0" collapsed="false">
      <c r="A52" s="21" t="s">
        <v>454</v>
      </c>
      <c r="B52" s="21" t="s">
        <v>505</v>
      </c>
      <c r="C52" s="21" t="s">
        <v>55</v>
      </c>
      <c r="D52" s="21"/>
    </row>
    <row r="53" customFormat="false" ht="15" hidden="false" customHeight="false" outlineLevel="0" collapsed="false">
      <c r="A53" s="21" t="s">
        <v>454</v>
      </c>
      <c r="B53" s="21" t="s">
        <v>506</v>
      </c>
      <c r="C53" s="21" t="s">
        <v>507</v>
      </c>
      <c r="D53" s="21"/>
    </row>
    <row r="54" customFormat="false" ht="15" hidden="false" customHeight="false" outlineLevel="0" collapsed="false">
      <c r="A54" s="21" t="s">
        <v>454</v>
      </c>
      <c r="B54" s="21" t="s">
        <v>508</v>
      </c>
      <c r="C54" s="21" t="s">
        <v>160</v>
      </c>
      <c r="D54" s="21"/>
    </row>
    <row r="55" customFormat="false" ht="15" hidden="false" customHeight="false" outlineLevel="0" collapsed="false">
      <c r="A55" s="21" t="s">
        <v>454</v>
      </c>
      <c r="B55" s="21" t="s">
        <v>509</v>
      </c>
      <c r="C55" s="21" t="s">
        <v>510</v>
      </c>
      <c r="D55" s="21"/>
    </row>
    <row r="56" customFormat="false" ht="15" hidden="false" customHeight="false" outlineLevel="0" collapsed="false">
      <c r="A56" s="21" t="s">
        <v>454</v>
      </c>
      <c r="B56" s="21" t="s">
        <v>511</v>
      </c>
      <c r="C56" s="21" t="s">
        <v>512</v>
      </c>
      <c r="D56" s="21"/>
    </row>
    <row r="57" customFormat="false" ht="15" hidden="false" customHeight="false" outlineLevel="0" collapsed="false">
      <c r="A57" s="21" t="s">
        <v>454</v>
      </c>
      <c r="B57" s="21" t="s">
        <v>513</v>
      </c>
      <c r="C57" s="21" t="s">
        <v>136</v>
      </c>
      <c r="D57" s="21"/>
    </row>
    <row r="58" customFormat="false" ht="15" hidden="false" customHeight="false" outlineLevel="0" collapsed="false">
      <c r="A58" s="21" t="s">
        <v>456</v>
      </c>
      <c r="B58" s="21" t="s">
        <v>514</v>
      </c>
      <c r="C58" s="21" t="s">
        <v>215</v>
      </c>
      <c r="D58" s="21"/>
    </row>
    <row r="59" customFormat="false" ht="15" hidden="false" customHeight="false" outlineLevel="0" collapsed="false">
      <c r="A59" s="21" t="s">
        <v>454</v>
      </c>
      <c r="B59" s="21" t="s">
        <v>515</v>
      </c>
      <c r="C59" s="21" t="s">
        <v>242</v>
      </c>
      <c r="D59" s="21"/>
    </row>
    <row r="60" customFormat="false" ht="15" hidden="false" customHeight="false" outlineLevel="0" collapsed="false">
      <c r="A60" s="21" t="s">
        <v>454</v>
      </c>
      <c r="B60" s="21" t="s">
        <v>516</v>
      </c>
      <c r="C60" s="21" t="s">
        <v>257</v>
      </c>
      <c r="D60" s="21"/>
    </row>
    <row r="61" customFormat="false" ht="15" hidden="false" customHeight="false" outlineLevel="0" collapsed="false">
      <c r="A61" s="21" t="s">
        <v>454</v>
      </c>
      <c r="B61" s="21" t="s">
        <v>517</v>
      </c>
      <c r="C61" s="21" t="s">
        <v>337</v>
      </c>
      <c r="D61" s="21"/>
    </row>
    <row r="62" customFormat="false" ht="15" hidden="false" customHeight="false" outlineLevel="0" collapsed="false">
      <c r="A62" s="21" t="s">
        <v>456</v>
      </c>
      <c r="B62" s="21" t="s">
        <v>517</v>
      </c>
      <c r="C62" s="21" t="s">
        <v>337</v>
      </c>
      <c r="D62" s="21"/>
    </row>
    <row r="63" customFormat="false" ht="15" hidden="false" customHeight="false" outlineLevel="0" collapsed="false">
      <c r="A63" s="21" t="s">
        <v>471</v>
      </c>
      <c r="B63" s="21" t="s">
        <v>518</v>
      </c>
      <c r="C63" s="21" t="s">
        <v>337</v>
      </c>
      <c r="D63" s="21"/>
    </row>
    <row r="64" customFormat="false" ht="15" hidden="false" customHeight="false" outlineLevel="0" collapsed="false">
      <c r="A64" s="21" t="s">
        <v>454</v>
      </c>
      <c r="B64" s="21" t="s">
        <v>519</v>
      </c>
      <c r="C64" s="21" t="s">
        <v>337</v>
      </c>
      <c r="D64" s="21"/>
    </row>
    <row r="65" customFormat="false" ht="15" hidden="false" customHeight="false" outlineLevel="0" collapsed="false">
      <c r="A65" s="21" t="s">
        <v>456</v>
      </c>
      <c r="B65" s="21" t="s">
        <v>520</v>
      </c>
      <c r="C65" s="21" t="s">
        <v>337</v>
      </c>
      <c r="D65" s="21"/>
    </row>
    <row r="66" customFormat="false" ht="15" hidden="false" customHeight="false" outlineLevel="0" collapsed="false">
      <c r="A66" s="21" t="s">
        <v>454</v>
      </c>
      <c r="B66" s="21" t="s">
        <v>521</v>
      </c>
      <c r="C66" s="21" t="s">
        <v>39</v>
      </c>
      <c r="D66" s="21" t="s">
        <v>522</v>
      </c>
    </row>
    <row r="67" customFormat="false" ht="15" hidden="false" customHeight="false" outlineLevel="0" collapsed="false">
      <c r="A67" s="21" t="s">
        <v>454</v>
      </c>
      <c r="B67" s="21" t="s">
        <v>523</v>
      </c>
      <c r="C67" s="21" t="s">
        <v>39</v>
      </c>
      <c r="D67" s="21" t="s">
        <v>522</v>
      </c>
    </row>
  </sheetData>
  <autoFilter ref="A3:D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2026-10-12T04:29:02Z</dcterms:created>
  <dc:creator>openpyxl</dc:creator>
  <dc:description/>
  <dc:language>en-US</dc:language>
  <cp:lastModifiedBy/>
  <dcterms:modified xsi:type="dcterms:W3CDTF">2026-10-12T04:29:02Z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