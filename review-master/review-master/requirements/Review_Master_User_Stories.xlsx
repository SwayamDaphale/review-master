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1 MVP" sheetId="2" state="visible" r:id="rId4"/>
    <sheet name="V2 Assistant" sheetId="3" state="visible" r:id="rId5"/>
    <sheet name="V3 Long-term" sheetId="4" state="visible" r:id="rId6"/>
    <sheet name="All Stories" sheetId="5" state="visible" r:id="rId7"/>
  </sheets>
  <definedNames>
    <definedName function="false" hidden="false" localSheetId="4" name="_xlnm.Print_Titles" vbProcedure="false">'All Stories'!$4:$4</definedName>
    <definedName function="false" hidden="true" localSheetId="4" name="_xlnm._FilterDatabase" vbProcedure="false">'All Stories'!$A$4:$J$57</definedName>
    <definedName function="false" hidden="false" localSheetId="1" name="_xlnm.Print_Titles" vbProcedure="false">'V1 MVP'!$4:$4</definedName>
    <definedName function="false" hidden="false" localSheetId="2" name="_xlnm.Print_Titles" vbProcedure="false">'V2 Assistant'!$4:$4</definedName>
    <definedName function="false" hidden="false" localSheetId="3" name="_xlnm.Print_Titles" vbProcedure="false">'V3 Long-term'!$4:$4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<sst xmlns="http://schemas.openxmlformats.org/spreadsheetml/2006/main" count="1165" uniqueCount="334">
  <si>
    <t xml:space="preserve">Review Master - User Stories Summary</t>
  </si>
  <si>
    <t xml:space="preserve">All counts are formulas reading the "All Stories" sheet, so they update when stories, roles, priorities or statuses change.</t>
  </si>
  <si>
    <t xml:space="preserve">Stories by role and version</t>
  </si>
  <si>
    <t xml:space="preserve">Role</t>
  </si>
  <si>
    <t xml:space="preserve">V1</t>
  </si>
  <si>
    <t xml:space="preserve">V2</t>
  </si>
  <si>
    <t xml:space="preserve">V3</t>
  </si>
  <si>
    <t xml:space="preserve">Total</t>
  </si>
  <si>
    <t xml:space="preserve">Consumer</t>
  </si>
  <si>
    <t xml:space="preserve">Public Reviewer</t>
  </si>
  <si>
    <t xml:space="preserve">Expert Reviewer</t>
  </si>
  <si>
    <t xml:space="preserve">Admin</t>
  </si>
  <si>
    <t xml:space="preserve">Developer / API Consumer</t>
  </si>
  <si>
    <t xml:space="preserve">Brand / Manufacturer</t>
  </si>
  <si>
    <t xml:space="preserve">Stories by priority and version</t>
  </si>
  <si>
    <t xml:space="preserve">Priority</t>
  </si>
  <si>
    <t xml:space="preserve">Must Have</t>
  </si>
  <si>
    <t xml:space="preserve">Should Have</t>
  </si>
  <si>
    <t xml:space="preserve">Could Have</t>
  </si>
  <si>
    <t xml:space="preserve">Stories by status</t>
  </si>
  <si>
    <t xml:space="preserve">Status</t>
  </si>
  <si>
    <t xml:space="preserve">Count</t>
  </si>
  <si>
    <t xml:space="preserve">Draft</t>
  </si>
  <si>
    <t xml:space="preserve">Clarification Required</t>
  </si>
  <si>
    <t xml:space="preserve">Ready for Development</t>
  </si>
  <si>
    <t xml:space="preserve">In Development</t>
  </si>
  <si>
    <t xml:space="preserve">Ready for QA</t>
  </si>
  <si>
    <t xml:space="preserve">Done</t>
  </si>
  <si>
    <t xml:space="preserve">Blocked</t>
  </si>
  <si>
    <t xml:space="preserve">Check</t>
  </si>
  <si>
    <t xml:space="preserve">Stories listed (All Stories)</t>
  </si>
  <si>
    <t xml:space="preserve">Role table matches list?</t>
  </si>
  <si>
    <t xml:space="preserve">Notes</t>
  </si>
  <si>
    <t xml:space="preserve">Priority order: Must Have (V1 core) &gt; Should Have (V1 desirable / V2) &gt; Could Have (V2 pilot / V3 and long-term).</t>
  </si>
  <si>
    <t xml:space="preserve">Roles are grouped in this order: Consumer, Public Reviewer, Expert Reviewer, Admin, Developer / API Consumer, Brand / Manufacturer.</t>
  </si>
  <si>
    <t xml:space="preserve">Sheets V1 MVP, V2 Assistant and V3 Long-term show role banners; "All Stories" is a flat list with filters.</t>
  </si>
  <si>
    <t xml:space="preserve">Status values follow the template: Draft / Clarification Required / Ready for Development / In Development / Ready for QA / Done / Blocked.</t>
  </si>
  <si>
    <t xml:space="preserve">Source: Review Master Master Project Capsule v1.0 (2026-10-01). Story IDs match the Word document Review_Master_User_Stories.docx.</t>
  </si>
  <si>
    <t xml:space="preserve">Review Master - User Stories - V1 - Controlled MVP (one marketplace, 3-5 categories, extension + responsive web)</t>
  </si>
  <si>
    <t xml:space="preserve">Grouped by role, ordered Must Have &gt; Should Have &gt; Could Have within each role. Use the "All Stories" sheet for filtering.</t>
  </si>
  <si>
    <t xml:space="preserve">Version</t>
  </si>
  <si>
    <t xml:space="preserve">Story ID</t>
  </si>
  <si>
    <t xml:space="preserve">Title</t>
  </si>
  <si>
    <t xml:space="preserve">Module</t>
  </si>
  <si>
    <t xml:space="preserve">User Story (Goal)</t>
  </si>
  <si>
    <t xml:space="preserve">Acceptance Criteria</t>
  </si>
  <si>
    <t xml:space="preserve">Detailed Test Conditions</t>
  </si>
  <si>
    <t xml:space="preserve">ROLE: CONSUMER</t>
  </si>
  <si>
    <t xml:space="preserve">US-001</t>
  </si>
  <si>
    <t xml:space="preserve">Detect product on supported marketplace page</t>
  </si>
  <si>
    <t xml:space="preserve">Extension</t>
  </si>
  <si>
    <t xml:space="preserve">As a Consumer, I want the browser extension to recognise the product and exact variant on a supported marketplace page, so that I can see Review Master insights without searching manually.</t>
  </si>
  <si>
    <t xml:space="preserve">• Extension activates only on the single V1-supported marketplace through its marketplace adapter.
• Only permitted page attributes are extracted; no private cookies, credentials, or browsing history are collected.
• Panel shows product name and exact variant once identified.
• Unsupported pages show a clear "not supported" message instead of wrong data.
• Extension requests minimum host permissions.</t>
  </si>
  <si>
    <t xml:space="preserve">• Positive: open a supported product page; panel loads with product name and variant.
• Negative: open an unsupported site; "not supported" message, no API call with page data.
• Negative: Review Master API is down; friendly error with retry, no crash.
• Edge: listing has no model number; user is told identity is ambiguous.
• Security: inspect the manifest; permissions limited to the supported host; no cookie access.</t>
  </si>
  <si>
    <t xml:space="preserve">US-002</t>
  </si>
  <si>
    <t xml:space="preserve">Resolve canonical product and variant</t>
  </si>
  <si>
    <t xml:space="preserve">Product</t>
  </si>
  <si>
    <t xml:space="preserve">As a Consumer, I want a marketplace listing mapped to the exact canonical product and variant, so that the evaluation I see applies to the thing I am actually considering.</t>
  </si>
  <si>
    <t xml:space="preserve">• Listing maps to product_id and variant_id; identity never depends on a marketplace URL.
• Matching order: verified marketplace ID mapping, model number, generation, exact configuration, normalized attributes, human review for ambiguous cases.
• AI may assist extraction but never silently merges products.
• Ambiguous matches are flagged for admin review and shown to the user as unconfirmed.</t>
  </si>
  <si>
    <t xml:space="preserve">• Positive: same model with 16 GB/512 GB vs 16 GB/1 TB resolves to two different variants.
• Positive: same listing opened via two different URLs resolves to one product.
• Negative: LLM-extracted model name conflicts with the verified ID mapping; verified mapping wins.
• Edge: missing model number or ambiguous listing goes to the review queue, not auto-merged.
• Edge: new generation with a similar name is not merged with the older generation.</t>
  </si>
  <si>
    <t xml:space="preserve">US-003</t>
  </si>
  <si>
    <t xml:space="preserve">Correct product identification</t>
  </si>
  <si>
    <t xml:space="preserve">As a Consumer, I want to correct a wrong product or variant match, so that I stay in control of what is being evaluated.</t>
  </si>
  <si>
    <t xml:space="preserve">• User can flag an identification as wrong and optionally pick the correct variant.
• The correction is stored and sent to the admin mapping queue; it does not directly alter the canonical mapping for other users.
• The user sees the corrected product for their session.
• Correction rate is recorded as a KPI input.</t>
  </si>
  <si>
    <t xml:space="preserve">• Positive: user selects the correct variant and the evaluation view refreshes.
• Negative: anonymous user attempts to alter the global mapping; request rejected.
• Edge: many users submit conflicting corrections; all are queued, none auto-applied.
• Verify the correction event appears in the audit log.</t>
  </si>
  <si>
    <t xml:space="preserve">US-004</t>
  </si>
  <si>
    <t xml:space="preserve">View normalized specifications</t>
  </si>
  <si>
    <t xml:space="preserve">As a Consumer, I want product specifications shown in a normalized, consistent form, so that I can understand and compare them across listings.</t>
  </si>
  <si>
    <t xml:space="preserve">• Specs are grouped according to the category schema (Smartphone, Laptop, External SSD).
• Units are normalized (for example GB/TB, MB/s).
• Each spec shows its source and freshness.
• Missing specs are displayed as "not available", never as zero.</t>
  </si>
  <si>
    <t xml:space="preserve">• Positive: 1 TB and 1000 GB inputs both display as the same normalized capacity.
• Negative: spec absent in source; shown as "not available" and not scored as 0.
• Edge: conflicting specs from manufacturer and marketplace; conflict is shown with both sources.
• Edge: unrecognized unit; value flagged for review rather than guessed.</t>
  </si>
  <si>
    <t xml:space="preserve">US-005</t>
  </si>
  <si>
    <t xml:space="preserve">Search products on the website</t>
  </si>
  <si>
    <t xml:space="preserve">As a Consumer, I want to search for products by name, model, or category on the website, so that I can evaluate items without being on a marketplace page.</t>
  </si>
  <si>
    <t xml:space="preserve">• Search returns canonical products (not raw marketplace listings).
• Results can be filtered by category.
• Each result links to the product detail page within about 3 clicks of landing.
• No-result searches show helpful guidance.</t>
  </si>
  <si>
    <t xml:space="preserve">• Positive: search by exact model name returns the matching product first.
• Positive: search by category returns only products in that category.
• Negative: empty or whitespace query; validation message.
• Edge: misspelled model name; relevant suggestions or "no match" message.</t>
  </si>
  <si>
    <t xml:space="preserve">US-006</t>
  </si>
  <si>
    <t xml:space="preserve">View product page with separated trust outputs</t>
  </si>
  <si>
    <t xml:space="preserve">As a Consumer, I want the product page to show the Review Master evaluation, community experience, and expert assessment separately, so that I understand where each signal comes from.</t>
  </si>
  <si>
    <t xml:space="preserve">• Three distinct sections: Review Master evaluation, Community experience, Expert assessment.
• The three are never blended into one number.
• External marketplace ratings appear only where permitted and are labelled as external information.
• Product quality, price, and sentiment remain visibly separate signals.</t>
  </si>
  <si>
    <t xml:space="preserve">• Positive: product with all three data types shows three separate sections.
• Positive: product with no expert assessment shows "no expert assessment yet".
• Negative: verify no combined score is computed from community and expert data.
• Edge: marketplace rating unavailable or not permitted; section hidden, not zero.</t>
  </si>
  <si>
    <t xml:space="preserve">US-008</t>
  </si>
  <si>
    <t xml:space="preserve">Deterministic category-based evaluation</t>
  </si>
  <si>
    <t xml:space="preserve">Evaluation</t>
  </si>
  <si>
    <t xml:space="preserve">As a Consumer, I want products scored by a deterministic, category-specific model, so that scores are consistent, explainable, and not invented by an AI.</t>
  </si>
  <si>
    <t xml:space="preserve">• Engine inputs: canonical variant, validated specs, eligible evidence, category evaluation model.
• Outputs: parameter results, overall score, confidence, evidence references, limitations, model version.
• V1 models exist for Smartphones, Laptops, and External SSDs.
• LLM is never the scoring authority; missing data never silently becomes zero.
• Extension, web, and API show the same score (no interface computes its own).</t>
  </si>
  <si>
    <t xml:space="preserve">• Positive: same inputs run twice give identical scores and the same model version.
• Positive: score from extension, web, and API match for one variant.
• Negative: critical evidence missing; result is Limited or Insufficient, not a low score.
• Edge: conflicting evidence from two sources is handled by the documented rule and flagged.
• Edge: unit normalization (TB vs GB, MB/s vs GB/s) produces correct parameter scores.</t>
  </si>
  <si>
    <t xml:space="preserve">US-009</t>
  </si>
  <si>
    <t xml:space="preserve">View Review Master score and parameter scores</t>
  </si>
  <si>
    <t xml:space="preserve">As a Consumer, I want to see the overall score and each parameter score, so that I know why a product scored the way it did.</t>
  </si>
  <si>
    <t xml:space="preserve">• Overall score and category parameter scores are displayed (for example performance, battery, camera for smartphones).
• Model name and version are shown.
• Score drivers and limitations are visible.
• Common cached evaluation loads in about 2 seconds or less.</t>
  </si>
  <si>
    <t xml:space="preserve">• Positive: smartphone shows all smartphone parameters.
• Positive: cached evaluation responds within the 2-second target under normal load.
• Negative: product without a published evaluation shows "not yet evaluated".
• Edge: product evaluated on an old model version displays that version.</t>
  </si>
  <si>
    <t xml:space="preserve">US-010</t>
  </si>
  <si>
    <t xml:space="preserve">View confidence level separate from score</t>
  </si>
  <si>
    <t xml:space="preserve">As a Consumer, I want to see how confident Review Master is in an evaluation, so that I do not over-trust a high score based on thin evidence.</t>
  </si>
  <si>
    <t xml:space="preserve">• Confidence is shown as High confidence, Limited confidence, or Insufficient evidence.
• Confidence considers evidence coverage, source quality, verification, freshness, consistency, and critical missing parameters.
• Confidence is displayed separately from the score.
• Reasons for reduced confidence are listed.</t>
  </si>
  <si>
    <t xml:space="preserve">• Positive: strong score with little evidence shows Limited confidence.
• Positive: fully evidenced, fresh, consistent data shows High confidence.
• Negative: critical parameter missing; Insufficient evidence is shown.
• Edge: evidence becomes stale; confidence downgrades after re-evaluation.</t>
  </si>
  <si>
    <t xml:space="preserve">US-011</t>
  </si>
  <si>
    <t xml:space="preserve">Inspect evidence and its provenance</t>
  </si>
  <si>
    <t xml:space="preserve">As a Consumer, I want to open the evidence behind a parameter score, so that I can verify where the information came from.</t>
  </si>
  <si>
    <t xml:space="preserve">• Each evidence item shows source, source type, timestamp, freshness, verification state, methodology (where relevant), and document reference.
• Evidence types are labelled: independently tested, expert-tested, manufacturer-published, marketplace-provided, community-reported, other authorized.
• A manufacturer claim is never presented as an independent test.
• A community complaint is never presented as a laboratory fact.</t>
  </si>
  <si>
    <t xml:space="preserve">• Positive: click a parameter; linked evidence opens with all provenance fields.
• Negative: manufacturer spec sheet is not shown with the "independently tested" label.
• Edge: evidence document later withdrawn; item marked as such and evaluation flagged for review.
• Security: private evidence is hidden from users without permission.</t>
  </si>
  <si>
    <t xml:space="preserve">US-015</t>
  </si>
  <si>
    <t xml:space="preserve">View community insights</t>
  </si>
  <si>
    <t xml:space="preserve">Community</t>
  </si>
  <si>
    <t xml:space="preserve">As a Consumer, I want a summary of community feedback, so that I can see recurring issues and positive experiences without reading every review.</t>
  </si>
  <si>
    <t xml:space="preserve">• Shows sentiment, recurring issues, positive experiences, and usage context.
• Shown separately from the objective evaluation.
• AI summaries are labelled and traceable to underlying feedback.
• Feedback history is retained.</t>
  </si>
  <si>
    <t xml:space="preserve">• Positive: product with many reviews shows top recurring issues.
• Negative: product with too few reviews shows a "not enough feedback" state.
• Edge: contradictory feedback is shown as mixed, not averaged away.
• Verify community data does not change the deterministic evaluation score.</t>
  </si>
  <si>
    <t xml:space="preserve">US-018</t>
  </si>
  <si>
    <t xml:space="preserve">Compare products side by side</t>
  </si>
  <si>
    <t xml:space="preserve">Compare</t>
  </si>
  <si>
    <t xml:space="preserve">As a Consumer, I want to compare two or more products parameter by parameter, so that I can see the trade-offs and pick the right one.</t>
  </si>
  <si>
    <t xml:space="preserve">• Comparison shows score, parameter scores, confidence, key specs, and offers for each product.
• Quality, price, and confidence are shown as separate signals.
• Products are compared on the same category model; cross-category compare is blocked with an explanation.
• Common compare actions need about 3 clicks or fewer.</t>
  </si>
  <si>
    <t xml:space="preserve">• Positive: compare two laptops; all shared parameters are aligned.
• Negative: compare a smartphone with a laptop; clear "different categories" message.
• Edge: one product has Insufficient evidence; shown clearly, not ranked as zero.
• Edge: more products than the supported maximum; limit message.</t>
  </si>
  <si>
    <t xml:space="preserve">US-020</t>
  </si>
  <si>
    <t xml:space="preserve">Discover alternatives</t>
  </si>
  <si>
    <t xml:space="preserve">As a Consumer, I want to see alternative products to the one I am viewing, so that I can consider better-fit or better-value options.</t>
  </si>
  <si>
    <t xml:space="preserve">• Alternatives come from the same category and are eligible (evaluated, not blocked).
• Each alternative shows why it is suggested.
• Alternatives show confidence next to their score.
• One click adds an alternative to comparison.</t>
  </si>
  <si>
    <t xml:space="preserve">• Positive: product page lists alternatives with reasons.
• Negative: product with no eligible alternatives shows an empty-state message.
• Edge: alternative has low confidence; flagged as such.</t>
  </si>
  <si>
    <t xml:space="preserve">US-021</t>
  </si>
  <si>
    <t xml:space="preserve">Enter requirements in natural language</t>
  </si>
  <si>
    <t xml:space="preserve">Recommendation</t>
  </si>
  <si>
    <t xml:space="preserve">As a Consumer, I want to describe what I need in my own words, so that Review Master can turn it into precise requirements.</t>
  </si>
  <si>
    <t xml:space="preserve">• An LLM extracts requirements into a structured schema (category, capacity, budget, use case, preferences).
• The backend validates the schema before use.
• The user can review and edit the extracted requirements.
• Invalid or unsupported fields are rejected or flagged.</t>
  </si>
  <si>
    <t xml:space="preserve">• Positive: "1TB external SSD under ₹8,000 for video editing, sustained write matters" produces category=external_ssd, capacity&gt;=1 TB, budget&lt;=8000 INR, use case=video_editing, sustained_write=high.
• Negative: request outside supported categories; user is told clearly.
• Edge: ambiguous budget wording ("around 8k"); user asked to confirm.
• Edge: prompt-injection text in the request is ignored.</t>
  </si>
  <si>
    <t xml:space="preserve">US-022</t>
  </si>
  <si>
    <t xml:space="preserve">Apply hard constraints before ranking</t>
  </si>
  <si>
    <t xml:space="preserve">As a Consumer, I want my must-have limits (budget, capacity, compatibility) always respected, so that I am never recommended something I cannot use.</t>
  </si>
  <si>
    <t xml:space="preserve">• Hard constraints (maximum budget, minimum capacity, required compatibility, required features) are filtered first.
• A product failing a hard constraint is never recommended, even with a high score.
• If nothing qualifies, the user is told and offered a specific constraint to relax.</t>
  </si>
  <si>
    <t xml:space="preserve">• Positive: only products at or under budget are returned.
• Negative: 9.2-scored product over budget is excluded.
• Edge: no eligible product; message plus offer to relax budget or capacity.
• Edge: constraint relaxed by the user; ranking reruns correctly.</t>
  </si>
  <si>
    <t xml:space="preserve">US-023</t>
  </si>
  <si>
    <t xml:space="preserve">Personalized recommendations with explanation</t>
  </si>
  <si>
    <t xml:space="preserve">As a Consumer, I want a ranked list of products that fit my needs with a clear explanation, so that I can decide with confidence.</t>
  </si>
  <si>
    <t xml:space="preserve">• Ranking is computed by the backend using evaluation, evidence, confidence, preferences, and offers.
• The LLM only explains the result; it does not create or reorder it.
• Recommendation stays distinct from evaluation (it answers "which fits this user").
• Low-confidence products are flagged; trade-offs are explained.
• A recommendation.changed event is emitted when results change.</t>
  </si>
  <si>
    <t xml:space="preserve">• Positive: user who prioritizes sustained write sees SSDs with strong sustained-write scores ranked higher.
• Negative: same inputs produce the same ranking (deterministic backend).
• Edge: top product has Limited confidence; flagged with reason.
• Verify explanation text cites only fields present in the ranking output.</t>
  </si>
  <si>
    <t xml:space="preserve">US-025</t>
  </si>
  <si>
    <t xml:space="preserve">View current offers</t>
  </si>
  <si>
    <t xml:space="preserve">Offer &amp; Price</t>
  </si>
  <si>
    <t xml:space="preserve">As a Consumer, I want to see current marketplace offers for the exact variant, so that I can pick a good seller and price.</t>
  </si>
  <si>
    <t xml:space="preserve">• Offers come only from permitted sources (official APIs, licensed feeds, authorized providers, permitted extraction).
• Each offer shows seller, price, availability, source, and observed timestamp.
• Stale offers are flagged.
• Canonical product, listing, and offer remain separate records.</t>
  </si>
  <si>
    <t xml:space="preserve">• Positive: variant with two sellers shows two offers with timestamps.
• Negative: offer data older than the freshness threshold shows a stale warning.
• Edge: seller out of stock; availability shown accordingly.
• Verify no private-account or restricted data is used.</t>
  </si>
  <si>
    <t xml:space="preserve">US-007</t>
  </si>
  <si>
    <t xml:space="preserve">Save products</t>
  </si>
  <si>
    <t xml:space="preserve">As a Consumer, I want to save products to a list, so that I can return to them and compare later.</t>
  </si>
  <si>
    <t xml:space="preserve">• Logged-in user can save and unsave a product variant from extension or web.
• Saved list is private to the user.
• Saving emits a product.saved event.
• Saved items remain linked to the canonical product, not to a URL.</t>
  </si>
  <si>
    <t xml:space="preserve">• Positive: save from extension; item appears in the web saved list.
• Negative: guest tries to save; prompted to log in.
• Edge: saved product later merged or retired; saved item redirects to the current canonical product.
• Security: user cannot read another user's saved list by changing the ID.</t>
  </si>
  <si>
    <t xml:space="preserve">US-012</t>
  </si>
  <si>
    <t xml:space="preserve">AI explanation of an evaluation</t>
  </si>
  <si>
    <t xml:space="preserve">As a Consumer, I want a plain-language explanation of the evaluation, so that I can understand the trade-offs quickly.</t>
  </si>
  <si>
    <t xml:space="preserve">• Explanation is generated only from stored evaluation, evidence, and confidence data.
• It does not invent specifications, scores, evidence, prices, or expert findings.
• AI-generated text is labelled as such and shows limitations.
• AI run metadata (inputs, model, result) is stored.</t>
  </si>
  <si>
    <t xml:space="preserve">• Positive: explanation mentions only parameters present in the evaluation.
• Negative: product with Insufficient evidence; explanation says so and does not speculate.
• Edge: marketplace text contains prompt-injection instructions; explanation ignores them.
• Verify an AIRun record is created for each explanation.</t>
  </si>
  <si>
    <t xml:space="preserve">US-013</t>
  </si>
  <si>
    <t xml:space="preserve">View evaluation history</t>
  </si>
  <si>
    <t xml:space="preserve">As a Consumer, I want to see how a product's evaluation changed over time, so that I can tell whether it is improving or degrading.</t>
  </si>
  <si>
    <t xml:space="preserve">• Past evaluations are retained with their exact model version.
• History shows date, score, confidence, and reason for change.
• Historical evaluations are never overwritten.</t>
  </si>
  <si>
    <t xml:space="preserve">• Positive: re-evaluation after new evidence adds a history entry.
• Negative: no API or admin path can edit an old evaluation record.
• Edge: model version upgrade; old entries keep the old version label.</t>
  </si>
  <si>
    <t xml:space="preserve">US-016</t>
  </si>
  <si>
    <t xml:space="preserve">Review-quality signals</t>
  </si>
  <si>
    <t xml:space="preserve">As a Consumer, I want to be told when review patterns look unusual, so that I can weigh feedback carefully without being told a reviewer is fake.</t>
  </si>
  <si>
    <t xml:space="preserve">• Anomaly signals include near-identical text, unusual bursts, repeated patterns, inconsistent product references, and suspicious clusters.
• Signals are worded as indicators, never as proof of fraud.
• A reviewer is never labelled fake based on negativity, writing style, or a single unusual review.</t>
  </si>
  <si>
    <t xml:space="preserve">• Positive: burst of near-identical reviews produces a review-quality signal.
• Negative: one harshly negative review does not trigger a signal.
• Negative: UI text never says "fake reviewer".
• Edge: non-native writing style is not penalized.</t>
  </si>
  <si>
    <t xml:space="preserve">US-019</t>
  </si>
  <si>
    <t xml:space="preserve">AI comparison summary</t>
  </si>
  <si>
    <t xml:space="preserve">As a Consumer, I want a short written summary of the differences between compared products, so that I can grasp the trade-offs quickly.</t>
  </si>
  <si>
    <t xml:space="preserve">• Summary uses only data from the comparison result.
• It explains trade-offs (cheap but weaker, expensive but well evaluated, limited durability data).
• It is labelled as AI-generated.</t>
  </si>
  <si>
    <t xml:space="preserve">• Positive: summary mentions the parameter where one product clearly leads.
• Negative: summary never states a spec absent from the data.
• Edge: near-identical products; summary says differences are minor.</t>
  </si>
  <si>
    <t xml:space="preserve">US-024</t>
  </si>
  <si>
    <t xml:space="preserve">Manage my preferences</t>
  </si>
  <si>
    <t xml:space="preserve">As a Consumer, I want to view and edit my saved preferences, so that recommendations reflect what matters to me now.</t>
  </si>
  <si>
    <t xml:space="preserve">• User can create, edit, and delete preference values (for example priorities, usage context).
• Changes apply to later recommendations only.
• Preferences are private to the user.</t>
  </si>
  <si>
    <t xml:space="preserve">• Positive: change camera importance; later recommendations reflect it.
• Negative: invalid preference value rejected.
• Security: another user cannot read or modify the preferences.</t>
  </si>
  <si>
    <t xml:space="preserve">US-026</t>
  </si>
  <si>
    <t xml:space="preserve">View price history</t>
  </si>
  <si>
    <t xml:space="preserve">As a Consumer, I want to see price history where available, so that I can judge whether the current price is good.</t>
  </si>
  <si>
    <t xml:space="preserve">• Price records are timestamped and carry provenance.
• The UI shows how much history is available (data coverage).
• No future price is claimed as certain without reliable evidence.
• Shown only where data use is permitted.</t>
  </si>
  <si>
    <t xml:space="preserve">• Positive: variant with 90 days of data shows a price trend.
• Negative: variant with no history shows "history not available".
• Edge: sparse data; coverage warning displayed.</t>
  </si>
  <si>
    <t xml:space="preserve">US-027</t>
  </si>
  <si>
    <t xml:space="preserve">Create price and target-price alerts</t>
  </si>
  <si>
    <t xml:space="preserve">Notification</t>
  </si>
  <si>
    <t xml:space="preserve">As a Consumer, I want to be alerted when a price drops or reaches my target, so that I can buy at the right time.</t>
  </si>
  <si>
    <t xml:space="preserve">• User can set an alert on a saved variant, including a target price.
• Alerts are delivered in-app and by email (browser notification where enabled).
• Alerts are throttled to avoid overload.
• Alert shows price, source, and timestamp.</t>
  </si>
  <si>
    <t xml:space="preserve">• Positive: target price reached; one alert delivered.
• Negative: price oscillates around the target; no repeated spam.
• Edge: alerted offer becomes unavailable before the user clicks; the message states the latest status.
• Verify the user can turn alerts off.</t>
  </si>
  <si>
    <t xml:space="preserve">US-028</t>
  </si>
  <si>
    <t xml:space="preserve">Control notification types</t>
  </si>
  <si>
    <t xml:space="preserve">As a Consumer, I want to choose which notifications I receive, so that I am not overloaded.</t>
  </si>
  <si>
    <t xml:space="preserve">• User can enable or disable price alerts, evaluation changes, low-confidence alerts, and stale-data reminders per channel.
• Defaults avoid excessive notifications.
• Delivery is processed asynchronously.</t>
  </si>
  <si>
    <t xml:space="preserve">• Positive: disable email alerts; no emails are sent.
• Negative: unauthenticated request to change settings is rejected.
• Edge: multiple events in a short window are grouped or throttled.</t>
  </si>
  <si>
    <t xml:space="preserve">ROLE: PUBLIC REVIEWER</t>
  </si>
  <si>
    <t xml:space="preserve">US-014</t>
  </si>
  <si>
    <t xml:space="preserve">Submit structured feedback</t>
  </si>
  <si>
    <t xml:space="preserve">As a Public Reviewer, I want to submit structured feedback about a specific product variant, so that my real experience helps other consumers.</t>
  </si>
  <si>
    <t xml:space="preserve">• Reviewer must be logged in; feedback is tied to the exact variant.
• Structured fields are used (for example ratings by parameter, usage context, issues, positives).
• New feedback enters a moderation state before publication.
• Reviewer can edit or delete their own feedback.</t>
  </si>
  <si>
    <t xml:space="preserve">• Positive: valid feedback is saved as pending and appears after moderation.
• Negative: guest submission blocked; empty required fields rejected.
• Edge: reviewer submits feedback for a variant different from the one they own; stored against the chosen variant and not merged.
• Security: reviewer cannot edit someone else's feedback.</t>
  </si>
  <si>
    <t xml:space="preserve">ROLE: EXPERT REVIEWER</t>
  </si>
  <si>
    <t xml:space="preserve">US-031</t>
  </si>
  <si>
    <t xml:space="preserve">Submit expert assessment with proof</t>
  </si>
  <si>
    <t xml:space="preserve">Expert</t>
  </si>
  <si>
    <t xml:space="preserve">As an Expert Reviewer, I want to inspect evidence, run tests, upload proof, and submit parameter-level findings, so that my assessment is credible and traceable.</t>
  </si>
  <si>
    <t xml:space="preserve">• Assessment includes product/variant, expert identity, qualifications, conflict declaration, methodology, test conditions, evidence, parameter findings, limitations, date, and approval state.
• Experts can only see and act on their assigned cases.
• Experts cannot directly change a published score and cannot approve their own assessment.
• Uploaded files are treated as untrusted input.</t>
  </si>
  <si>
    <t xml:space="preserve">• Positive: complete assessment is submitted into quality review.
• Negative: expert attempts to approve their own assessment; blocked.
• Negative: expert opens an unassigned case; access denied.
• Security: malicious file upload is rejected or quarantined.</t>
  </si>
  <si>
    <t xml:space="preserve">ROLE: ADMIN</t>
  </si>
  <si>
    <t xml:space="preserve">US-017</t>
  </si>
  <si>
    <t xml:space="preserve">Moderate community feedback</t>
  </si>
  <si>
    <t xml:space="preserve">As an Admin, I want to approve, reject, or flag feedback, so that published community content is trustworthy.</t>
  </si>
  <si>
    <t xml:space="preserve">• Moderation queue lists pending and flagged feedback with anomaly signals.
• Each decision records moderator, time, and reason.
• Rejected feedback is retained for audit, not hard-deleted.
• A feedback.moderated event is emitted.</t>
  </si>
  <si>
    <t xml:space="preserve">• Positive: approve feedback; it becomes visible on the product page.
• Negative: non-admin cannot access the moderation queue.
• Edge: reviewer edits feedback while it is under review; moderator sees the latest version and the history.
• Verify the audit log entry exists for each decision.</t>
  </si>
  <si>
    <t xml:space="preserve">US-033</t>
  </si>
  <si>
    <t xml:space="preserve">Manage users, roles, and permissions</t>
  </si>
  <si>
    <t xml:space="preserve">As an Admin, I want to manage users and role-based permissions, so that each person has only the access they need.</t>
  </si>
  <si>
    <t xml:space="preserve">• Roles supported: Consumer, Public Reviewer, Expert Reviewer, Admin, Developer/API Consumer.
• Least-privilege RBAC is enforced on every API.
• Role changes are audit logged.
• Users cannot escalate their own role.</t>
  </si>
  <si>
    <t xml:space="preserve">• Positive: admin grants Expert role; expert portal becomes available.
• Negative: Consumer calls an admin API; 403 returned.
• Security: modified token or request cannot escalate role.
• Verify role changes appear in the audit log.</t>
  </si>
  <si>
    <t xml:space="preserve">US-034</t>
  </si>
  <si>
    <t xml:space="preserve">Manage categories and versioned evaluation models</t>
  </si>
  <si>
    <t xml:space="preserve">As an Admin, I want to configure category evaluation models with versions, so that scoring rules are controlled and historical results stay auditable.</t>
  </si>
  <si>
    <t xml:space="preserve">• A model defines parameters, definitions, weights, normalization rules, evidence requirements, confidence policy, version, and status.
• Publishing a model needs explicit approval.
• Final parameters and weights are validated before publication; V1 example weights are not production values.
• Existing evaluations keep the model version used.</t>
  </si>
  <si>
    <t xml:space="preserve">• Positive: create Smartphone v1 as draft, validate, publish.
• Negative: edit a published model in place; blocked, new version required.
• Edge: new version published; old evaluations remain linked to the old version.
• Verify publication is audit logged.</t>
  </si>
  <si>
    <t xml:space="preserve">US-035</t>
  </si>
  <si>
    <t xml:space="preserve">Manage product mappings and ambiguous matches</t>
  </si>
  <si>
    <t xml:space="preserve">As an Admin, I want to review ambiguous or user-corrected product matches, so that canonical identities stay accurate.</t>
  </si>
  <si>
    <t xml:space="preserve">• Queue lists ambiguous matches and user corrections with supporting attributes.
• Admin can confirm, change, or split a mapping.
• Mapping changes are versioned and audit logged.</t>
  </si>
  <si>
    <t xml:space="preserve">• Positive: confirm a mapping; future listings resolve automatically.
• Negative: non-admin cannot access the queue.
• Edge: split an incorrectly merged product; existing evaluations are reassigned or re-evaluated correctly.</t>
  </si>
  <si>
    <t xml:space="preserve">US-036</t>
  </si>
  <si>
    <t xml:space="preserve">Protect and manage evidence</t>
  </si>
  <si>
    <t xml:space="preserve">As an Admin, I want evidence stored securely with provenance and versioning, so that it can be trusted and audited.</t>
  </si>
  <si>
    <t xml:space="preserve">• Uploaded evidence is treated as untrusted (type and size validation, malware scanning).
• Private evidence is accessible only to authorized roles.
• Evidence changes create new versions; nothing is silently overwritten.
• Evidence metadata includes source, source type, timestamp, verification state.</t>
  </si>
  <si>
    <t xml:space="preserve">• Positive: valid report uploaded and stored with metadata.
• Negative: executable disguised as a PDF is rejected.
• Security: user without permission cannot fetch the private evidence URL.
• Edge: replacing an evidence file keeps the prior version.</t>
  </si>
  <si>
    <t xml:space="preserve">US-037</t>
  </si>
  <si>
    <t xml:space="preserve">Audit log of material changes</t>
  </si>
  <si>
    <t xml:space="preserve">As an Admin, I want every material change recorded in an audit log, so that decisions can be traced and reviewed.</t>
  </si>
  <si>
    <t xml:space="preserve">• Logs capture actor, action, object, timestamp, and before/after values.
• Covers role changes, model publication, mapping changes, moderation, expert decisions, integration changes, and API key actions.
• Audit records cannot be edited or deleted through the UI.</t>
  </si>
  <si>
    <t xml:space="preserve">• Positive: publish a model; audit entry appears with actor and version.
• Negative: attempt to delete an audit entry; denied.
• Edge: failed action (permission denied) is also recorded.</t>
  </si>
  <si>
    <t xml:space="preserve">US-039</t>
  </si>
  <si>
    <t xml:space="preserve">Keep commercial relationships out of scoring</t>
  </si>
  <si>
    <t xml:space="preserve">As an Admin, I want a guarantee that affiliate, brand, or partner relationships cannot alter independent scores, so that Review Master stays trustworthy.</t>
  </si>
  <si>
    <t xml:space="preserve">• No API or role allows a commercial customer to edit scores, evidence verdicts, or expert findings.
• Commercial relationships are disclosed where relevant.
• Affiliate revenue and price are separate from quality in data and UI.</t>
  </si>
  <si>
    <t xml:space="preserve">• Negative: brand or API-key user attempts to change a score; denied.
• Negative: affiliate flag has no influence on the evaluation output.
• Verify disclosure labels appear on sponsored or affiliated links.</t>
  </si>
  <si>
    <t xml:space="preserve">US-029</t>
  </si>
  <si>
    <t xml:space="preserve">Create investigation case from potential issue</t>
  </si>
  <si>
    <t xml:space="preserve">As an Admin, I want to triage a potential review or product-quality issue into an investigation case, so that it can be examined by an expert.</t>
  </si>
  <si>
    <t xml:space="preserve">• Admin can open a case from flagged feedback, anomaly signals, or a user report.
• Case records product/variant, reason, evidence references, and status.
• Admin cannot replace a marketplace rating with an arbitrary rating.
• Case actions are audit logged.</t>
  </si>
  <si>
    <t xml:space="preserve">• Positive: flagged product becomes a case with linked evidence.
• Negative: admin tries to directly set a score from a case; blocked.
• Edge: duplicate case for the same issue; user warned and cases can be linked.</t>
  </si>
  <si>
    <t xml:space="preserve">US-030</t>
  </si>
  <si>
    <t xml:space="preserve">Assign expert with conflict-of-interest check</t>
  </si>
  <si>
    <t xml:space="preserve">As an Admin, I want to assign a case to a qualified expert after a conflict-of-interest check, so that the assessment is independent.</t>
  </si>
  <si>
    <t xml:space="preserve">• Expert declares conflicts before accepting.
• Assignment is blocked if a conflict is declared or detected.
• Commercial relationships are disclosed on the case.
• Assignment, acceptance, and decline are logged.</t>
  </si>
  <si>
    <t xml:space="preserve">• Positive: expert with no conflict is assigned and accepts.
• Negative: expert with a declared brand relationship is blocked.
• Edge: expert declines; case returns to the pool.</t>
  </si>
  <si>
    <t xml:space="preserve">US-032</t>
  </si>
  <si>
    <t xml:space="preserve">Quality review and publish expert assessment</t>
  </si>
  <si>
    <t xml:space="preserve">As an Admin, I want to review and approve or reject expert assessments before publication, so that only evidence-backed findings affect the platform.</t>
  </si>
  <si>
    <t xml:space="preserve">• Reviewer can approve, reject, or return an assessment with comments.
• Published assessment is shown separately from the Review Master evaluation and community feedback.
• The evaluation is updated only if the evidence supports it, via the normal versioned engine.
• Historical evidence is never silently overwritten.</t>
  </si>
  <si>
    <t xml:space="preserve">• Positive: approved assessment appears on the product page and triggers re-evaluation.
• Negative: rejected assessment is never publicly visible.
• Edge: new assessment contradicts an older one; both are retained with dates.</t>
  </si>
  <si>
    <t xml:space="preserve">US-038</t>
  </si>
  <si>
    <t xml:space="preserve">Monitor integrations and system health</t>
  </si>
  <si>
    <t xml:space="preserve">As an Admin, I want to see the status and freshness of marketplace integrations and background jobs, so that I can react to failures.</t>
  </si>
  <si>
    <t xml:space="preserve">• Shows adapter status, last sync, freshness, and errors.
• Failures raise integration.error events.
• Ingestion, price refresh, and evaluation jobs show success and failure counts.</t>
  </si>
  <si>
    <t xml:space="preserve">• Positive: healthy adapter shows green status and last sync time.
• Negative: simulate adapter failure; error shown and event emitted.
• Edge: repeated failures are retried with backoff and not duplicated.</t>
  </si>
  <si>
    <t xml:space="preserve">ROLE: DEVELOPER / API CONSUMER</t>
  </si>
  <si>
    <t xml:space="preserve">US-040</t>
  </si>
  <si>
    <t xml:space="preserve">Access versioned secure APIs</t>
  </si>
  <si>
    <t xml:space="preserve">API</t>
  </si>
  <si>
    <t xml:space="preserve">As a Developer/API Consumer, I want to call versioned, authenticated APIs for products, evaluations, comparisons, and recommendations, so that I can build on Review Master reliably.</t>
  </si>
  <si>
    <t xml:space="preserve">• Endpoints are versioned under /api/v1 (products, evaluations, comparisons, recommendations, offers, prices, and others).
• Authentication via API keys (OAuth where applicable) with permission scopes.
• Rate limiting and idempotency are supported.
• Responses carry confidence, model version, and evidence references.</t>
  </si>
  <si>
    <t xml:space="preserve">• Positive: valid key retrieves an evaluation by product ID.
• Negative: missing or invalid key returns 401; out-of-scope key returns 403.
• Negative: exceeding the rate limit returns 429.
• Edge: repeated POST with the same idempotency key creates one record.</t>
  </si>
  <si>
    <t xml:space="preserve">US-041</t>
  </si>
  <si>
    <t xml:space="preserve">Receive signed webhooks for events</t>
  </si>
  <si>
    <t xml:space="preserve">As a Developer/API Consumer, I want signed webhook events (for example product.evaluated, price.changed), so that my system stays in sync.</t>
  </si>
  <si>
    <t xml:space="preserve">• Events delivered to registered endpoints with a verifiable signature.
• Failed deliveries are retried with backoff.
• Event payloads follow documented schemas.</t>
  </si>
  <si>
    <t xml:space="preserve">• Positive: evaluation update sends product.evaluated with a valid signature.
• Negative: tampered payload fails signature verification.
• Edge: endpoint down; retries then marked failed and surfaced to admin.</t>
  </si>
  <si>
    <t xml:space="preserve">Review Master - User Stories - V2 - Active shopping assistant</t>
  </si>
  <si>
    <t xml:space="preserve">US-042</t>
  </si>
  <si>
    <t xml:space="preserve">Conversational product Q&amp;A</t>
  </si>
  <si>
    <t xml:space="preserve">Chat / AI</t>
  </si>
  <si>
    <t xml:space="preserve">As a Consumer, I want to ask questions about products in natural language, so that I can get grounded answers without navigating the UI.</t>
  </si>
  <si>
    <t xml:space="preserve">• Chatbot uses explicit backend tools (search_products, get_evaluation, compare_products, get_offers, and similar), not direct database access.
• Answers are grounded in structured tool results and checked for permission and evidence.
• The chatbot never invents specs, scores, evidence, prices, availability, or expert findings.
• Consequential actions (save product, create alert) require user confirmation.</t>
  </si>
  <si>
    <t xml:space="preserve">• Positive: "Is this SSD good for 4K editing?" returns an answer citing the evaluation.
• Negative: question about an unsupported product; chatbot says it lacks data.
• Security: prompt injection cannot trigger tools outside the user's permissions.
• Edge: tool returns Insufficient evidence; answer reflects uncertainty.</t>
  </si>
  <si>
    <t xml:space="preserve">US-043</t>
  </si>
  <si>
    <t xml:space="preserve">Buy / track / wait guidance</t>
  </si>
  <si>
    <t xml:space="preserve">As a Consumer, I want guidance on whether to buy now, track, or wait, so that I can time my purchase.</t>
  </si>
  <si>
    <t xml:space="preserve">• Guidance considers current price, history, data coverage, urgency, budget, availability, and verified sale information.
• Language never claims a future price with certainty without reliable evidence.
• Advanced forecasting is excluded until V3.</t>
  </si>
  <si>
    <t xml:space="preserve">• Positive: strong price drop with solid history suggests "buy now" with reasons.
• Negative: sparse data produces a cautious "track" message.
• Edge: user urgency is high; guidance reflects it.</t>
  </si>
  <si>
    <t xml:space="preserve">US-045</t>
  </si>
  <si>
    <t xml:space="preserve">Mobile app: share URL and compare</t>
  </si>
  <si>
    <t xml:space="preserve">Mobile</t>
  </si>
  <si>
    <t xml:space="preserve">As a Consumer, I want to share a product URL to the Review Master mobile app, so that I can see evaluations on my phone.</t>
  </si>
  <si>
    <t xml:space="preserve">• Mobile reuses the same backend APIs and scores.
• The app does not read private data from other apps.
• Supports search, compare, saved products, chatbot, notifications, and price alerts.</t>
  </si>
  <si>
    <t xml:space="preserve">• Positive: share a marketplace link; the product evaluation opens.
• Negative: link to an unsupported site gives a clear message.
• Verify no access to other apps' private data is requested.</t>
  </si>
  <si>
    <t xml:space="preserve">US-049</t>
  </si>
  <si>
    <t xml:space="preserve">Retrieve answers from approved documents (RAG)</t>
  </si>
  <si>
    <t xml:space="preserve">As a Consumer, I want answers to draw on approved manuals, test reports, and methodology documents, so that responses are well-informed.</t>
  </si>
  <si>
    <t xml:space="preserve">• Retrieval covers only approved expert reports, manuals, manufacturer documents, test reports, and methodology.
• Retrieved text is not treated as verified just because it was retrieved.
• Retrieval never affects the deterministic score.</t>
  </si>
  <si>
    <t xml:space="preserve">• Positive: question about a documented spec returns an answer with its source.
• Negative: unapproved document is never retrieved.
• Edge: conflicting documents are both shown with their source types.</t>
  </si>
  <si>
    <t xml:space="preserve">US-046</t>
  </si>
  <si>
    <t xml:space="preserve">Post-purchase feedback with purchase verification</t>
  </si>
  <si>
    <t xml:space="preserve">As a Public Reviewer, I want to optionally verify my purchase, so that my feedback is marked as verified.</t>
  </si>
  <si>
    <t xml:space="preserve">• Verification methods: authorized affiliate links, authorized marketplace APIs, user-shared links, optional receipt/invoice.
• Affiliate click, attributed conversion, and verified purchase are separate states.
• A click is never treated as a purchase.</t>
  </si>
  <si>
    <t xml:space="preserve">• Positive: upload receipt; feedback shows "verified purchase".
• Negative: click-through only; no verified label.
• Security: receipt files are scanned, access is private, and retention rules apply.</t>
  </si>
  <si>
    <t xml:space="preserve">US-044</t>
  </si>
  <si>
    <t xml:space="preserve">Add an authorized marketplace adapter</t>
  </si>
  <si>
    <t xml:space="preserve">As an Admin, I want to onboard another marketplace through the adapter interface, so that Review Master expands without changing the evaluation engine.</t>
  </si>
  <si>
    <t xml:space="preserve">• New adapter implements the standard capabilities (identify listing, extract permitted attributes, normalize, identify variant, return offers, source metadata, freshness, status).
• No evaluation code depends on a marketplace-specific implementation.
• Only official APIs, licensed feeds, authorized providers, or permitted extraction are used.</t>
  </si>
  <si>
    <t xml:space="preserve">• Positive: add second adapter; evaluation output for the same canonical product is unchanged.
• Negative: adapter attempting restricted data collection fails compliance review.
• Edge: adapter outage does not affect other adapters.</t>
  </si>
  <si>
    <t xml:space="preserve">US-048</t>
  </si>
  <si>
    <t xml:space="preserve">Product-intelligence commercial API</t>
  </si>
  <si>
    <t xml:space="preserve">As a Developer/API Consumer, I want a commercial API for identity, evaluation, evidence metadata, comparisons, and recommendations, so that I can integrate Review Master into my product.</t>
  </si>
  <si>
    <t xml:space="preserve">• Subscription and key management for B2B customers.
• Tenant isolation between customers.
• Usage metering and rate limiting.</t>
  </si>
  <si>
    <t xml:space="preserve">• Positive: customer A key returns data for its plan only.
• Security: customer A cannot access customer B's data.
• Edge: plan limit exceeded; request blocked with a clear error.</t>
  </si>
  <si>
    <t xml:space="preserve">ROLE: BRAND / MANUFACTURER</t>
  </si>
  <si>
    <t xml:space="preserve">US-047</t>
  </si>
  <si>
    <t xml:space="preserve">Brand profile and evidence submission</t>
  </si>
  <si>
    <t xml:space="preserve">As a Brand representative, I want to claim our profile, submit specifications and evidence, and respond to documented issues, so that our products are represented accurately.</t>
  </si>
  <si>
    <t xml:space="preserve">• Brand claims are labelled "manufacturer-published" and never as independent tests.
• Brand can request independent testing as a paid service.
• Brand cannot modify scores or buy a better evaluation.</t>
  </si>
  <si>
    <t xml:space="preserve">• Positive: brand uploads spec sheet; evidence is labelled as manufacturer-published.
• Negative: brand attempts to edit a score; denied.
• Verify commercial relationship is disclosed on the product page.</t>
  </si>
  <si>
    <t xml:space="preserve">Review Master - User Stories - V3 - Universal intelligence layer and CEO long-term vision</t>
  </si>
  <si>
    <t xml:space="preserve">US-050</t>
  </si>
  <si>
    <t xml:space="preserve">Context-aware questions via context graph</t>
  </si>
  <si>
    <t xml:space="preserve">As a Consumer, I want to ask context-aware questions that link my preferences, products, offers, and evidence, so that I do not have to assemble information myself.</t>
  </si>
  <si>
    <t xml:space="preserve">• Graph links preferences, products, categories, specs, offers, evaluations, evidence, feedback, comparisons, recommendations, and decisions.
• Answers remain grounded and permission-checked.
• Preference learning has user controls.</t>
  </si>
  <si>
    <t xml:space="preserve">• Positive: "Which of my saved laptops best fits my battery priority?" returns a grounded answer.
• Negative: user cannot query another user's graph.
• Verify the user can reset learned preferences.</t>
  </si>
  <si>
    <t xml:space="preserve">US-051</t>
  </si>
  <si>
    <t xml:space="preserve">Predictive price and quality-change detection</t>
  </si>
  <si>
    <t xml:space="preserve">As a Consumer, I want warnings about likely price changes and shifts in product quality or confidence, so that I can act early.</t>
  </si>
  <si>
    <t xml:space="preserve">• Predictions are labelled as estimates with their evidence basis.
• Quality and confidence change detection is based on new evidence, not speculation.
• Controlled monitoring respects notification limits.</t>
  </si>
  <si>
    <t xml:space="preserve">• Positive: new durability evidence triggers a quality-change notice.
• Negative: weak data produces no strong prediction.
• Edge: conflicting signals are surfaced as uncertain.</t>
  </si>
  <si>
    <t xml:space="preserve">US-052</t>
  </si>
  <si>
    <t xml:space="preserve">Household / multi-user shopping</t>
  </si>
  <si>
    <t xml:space="preserve">As a Consumer, I want to shop with household members, so that we can share lists and requirements.</t>
  </si>
  <si>
    <t xml:space="preserve">• Users can form a household with shared saved products and requirements.
• Personal preferences and private data stay private unless shared.
• Roles within a household are controlled.</t>
  </si>
  <si>
    <t xml:space="preserve">• Positive: member adds a product to the shared list; the other member sees it.
• Security: private preferences are not exposed to other members.
• Edge: member leaves the household; shared access is removed.</t>
  </si>
  <si>
    <t xml:space="preserve">US-053</t>
  </si>
  <si>
    <t xml:space="preserve">Add a new domain evaluation model (restaurants, hotels, services)</t>
  </si>
  <si>
    <t xml:space="preserve">As an Admin, I want to add evaluation models for new domains (for example Restaurant v1, Hotel v1) on the shared entity platform, so that Review Master expands beyond products.</t>
  </si>
  <si>
    <t xml:space="preserve">• A new domain reuses shared identity, evidence, feedback, expert, confidence, comparison, recommendation, notification, and AI infrastructure.
• Only domain parameters, normalization, evidence requirements, scoring rules, and recommendation constraints are new.
• No redesign of the core platform is required.</t>
  </si>
  <si>
    <t xml:space="preserve">• Positive: configure a Restaurant v1 model; an entity can be evaluated end to end.
• Verify product categories are unaffected by the new domain.
• Edge: domain-specific evidence requirement differs; engine enforces it.</t>
  </si>
  <si>
    <t xml:space="preserve">Review Master - All User Stories (filterable)</t>
  </si>
  <si>
    <t xml:space="preserve">Sorted by Version, then Role, then Priority. Use the header filters to slice any other way.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</si>
</sst>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E2F3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n">
        <f aca="false">COUNTIFS('All Stories'!$D$5:$D$57,$A6,'All Stories'!$A$5:$A$57,"V1")</f>
        <v>26</v>
      </c>
      <c r="C6" s="7" t="n">
        <f aca="false">COUNTIFS('All Stories'!$D$5:$D$57,$A6,'All Stories'!$A$5:$A$57,"V2")</f>
        <v>4</v>
      </c>
      <c r="D6" s="7" t="n">
        <f aca="false">COUNTIFS('All Stories'!$D$5:$D$57,$A6,'All Stories'!$A$5:$A$57,"V3")</f>
        <v>3</v>
      </c>
      <c r="E6" s="7" t="n">
        <f aca="false">SUM(B6:D6)</f>
        <v>33</v>
      </c>
    </row>
    <row r="7" customFormat="false" ht="15" hidden="false" customHeight="false" outlineLevel="0" collapsed="false">
      <c r="A7" s="6" t="s">
        <v>9</v>
      </c>
      <c r="B7" s="7" t="n">
        <f aca="false">COUNTIFS('All Stories'!$D$5:$D$57,$A7,'All Stories'!$A$5:$A$57,"V1")</f>
        <v>1</v>
      </c>
      <c r="C7" s="7" t="n">
        <f aca="false">COUNTIFS('All Stories'!$D$5:$D$57,$A7,'All Stories'!$A$5:$A$57,"V2")</f>
        <v>1</v>
      </c>
      <c r="D7" s="7" t="n">
        <f aca="false">COUNTIFS('All Stories'!$D$5:$D$57,$A7,'All Stories'!$A$5:$A$57,"V3")</f>
        <v>0</v>
      </c>
      <c r="E7" s="7" t="n">
        <f aca="false">SUM(B7:D7)</f>
        <v>2</v>
      </c>
    </row>
    <row r="8" customFormat="false" ht="15" hidden="false" customHeight="false" outlineLevel="0" collapsed="false">
      <c r="A8" s="6" t="s">
        <v>10</v>
      </c>
      <c r="B8" s="7" t="n">
        <f aca="false">COUNTIFS('All Stories'!$D$5:$D$57,$A8,'All Stories'!$A$5:$A$57,"V1")</f>
        <v>1</v>
      </c>
      <c r="C8" s="7" t="n">
        <f aca="false">COUNTIFS('All Stories'!$D$5:$D$57,$A8,'All Stories'!$A$5:$A$57,"V2")</f>
        <v>0</v>
      </c>
      <c r="D8" s="7" t="n">
        <f aca="false">COUNTIFS('All Stories'!$D$5:$D$57,$A8,'All Stories'!$A$5:$A$57,"V3")</f>
        <v>0</v>
      </c>
      <c r="E8" s="7" t="n">
        <f aca="false">SUM(B8:D8)</f>
        <v>1</v>
      </c>
    </row>
    <row r="9" customFormat="false" ht="15" hidden="false" customHeight="false" outlineLevel="0" collapsed="false">
      <c r="A9" s="6" t="s">
        <v>11</v>
      </c>
      <c r="B9" s="7" t="n">
        <f aca="false">COUNTIFS('All Stories'!$D$5:$D$57,$A9,'All Stories'!$A$5:$A$57,"V1")</f>
        <v>11</v>
      </c>
      <c r="C9" s="7" t="n">
        <f aca="false">COUNTIFS('All Stories'!$D$5:$D$57,$A9,'All Stories'!$A$5:$A$57,"V2")</f>
        <v>1</v>
      </c>
      <c r="D9" s="7" t="n">
        <f aca="false">COUNTIFS('All Stories'!$D$5:$D$57,$A9,'All Stories'!$A$5:$A$57,"V3")</f>
        <v>1</v>
      </c>
      <c r="E9" s="7" t="n">
        <f aca="false">SUM(B9:D9)</f>
        <v>13</v>
      </c>
    </row>
    <row r="10" customFormat="false" ht="15" hidden="false" customHeight="false" outlineLevel="0" collapsed="false">
      <c r="A10" s="6" t="s">
        <v>12</v>
      </c>
      <c r="B10" s="7" t="n">
        <f aca="false">COUNTIFS('All Stories'!$D$5:$D$57,$A10,'All Stories'!$A$5:$A$57,"V1")</f>
        <v>2</v>
      </c>
      <c r="C10" s="7" t="n">
        <f aca="false">COUNTIFS('All Stories'!$D$5:$D$57,$A10,'All Stories'!$A$5:$A$57,"V2")</f>
        <v>1</v>
      </c>
      <c r="D10" s="7" t="n">
        <f aca="false">COUNTIFS('All Stories'!$D$5:$D$57,$A10,'All Stories'!$A$5:$A$57,"V3")</f>
        <v>0</v>
      </c>
      <c r="E10" s="7" t="n">
        <f aca="false">SUM(B10:D10)</f>
        <v>3</v>
      </c>
    </row>
    <row r="11" customFormat="false" ht="15" hidden="false" customHeight="false" outlineLevel="0" collapsed="false">
      <c r="A11" s="6" t="s">
        <v>13</v>
      </c>
      <c r="B11" s="7" t="n">
        <f aca="false">COUNTIFS('All Stories'!$D$5:$D$57,$A11,'All Stories'!$A$5:$A$57,"V1")</f>
        <v>0</v>
      </c>
      <c r="C11" s="7" t="n">
        <f aca="false">COUNTIFS('All Stories'!$D$5:$D$57,$A11,'All Stories'!$A$5:$A$57,"V2")</f>
        <v>1</v>
      </c>
      <c r="D11" s="7" t="n">
        <f aca="false">COUNTIFS('All Stories'!$D$5:$D$57,$A11,'All Stories'!$A$5:$A$57,"V3")</f>
        <v>0</v>
      </c>
      <c r="E11" s="7" t="n">
        <f aca="false">SUM(B11:D11)</f>
        <v>1</v>
      </c>
    </row>
    <row r="12" customFormat="false" ht="15" hidden="false" customHeight="false" outlineLevel="0" collapsed="false">
      <c r="A12" s="8" t="s">
        <v>7</v>
      </c>
      <c r="B12" s="9" t="n">
        <f aca="false">SUM(B6:B11)</f>
        <v>41</v>
      </c>
      <c r="C12" s="9" t="n">
        <f aca="false">SUM(C6:C11)</f>
        <v>8</v>
      </c>
      <c r="D12" s="9" t="n">
        <f aca="false">SUM(D6:D11)</f>
        <v>4</v>
      </c>
      <c r="E12" s="9" t="n">
        <f aca="false">SUM(E6:E11)</f>
        <v>53</v>
      </c>
    </row>
    <row r="14" customFormat="false" ht="15" hidden="false" customHeight="false" outlineLevel="0" collapsed="false">
      <c r="A14" s="3" t="s">
        <v>14</v>
      </c>
    </row>
    <row r="15" customFormat="false" ht="15" hidden="false" customHeight="false" outlineLevel="0" collapsed="false">
      <c r="A15" s="4" t="s">
        <v>15</v>
      </c>
      <c r="B15" s="5" t="s">
        <v>4</v>
      </c>
      <c r="C15" s="5" t="s">
        <v>5</v>
      </c>
      <c r="D15" s="5" t="s">
        <v>6</v>
      </c>
      <c r="E15" s="5" t="s">
        <v>7</v>
      </c>
    </row>
    <row r="16" customFormat="false" ht="15" hidden="false" customHeight="false" outlineLevel="0" collapsed="false">
      <c r="A16" s="10" t="s">
        <v>16</v>
      </c>
      <c r="B16" s="7" t="n">
        <f aca="false">COUNTIFS('All Stories'!$F$5:$F$57,$A16,'All Stories'!$A$5:$A$57,"V1")</f>
        <v>26</v>
      </c>
      <c r="C16" s="7" t="n">
        <f aca="false">COUNTIFS('All Stories'!$F$5:$F$57,$A16,'All Stories'!$A$5:$A$57,"V2")</f>
        <v>0</v>
      </c>
      <c r="D16" s="7" t="n">
        <f aca="false">COUNTIFS('All Stories'!$F$5:$F$57,$A16,'All Stories'!$A$5:$A$57,"V3")</f>
        <v>0</v>
      </c>
      <c r="E16" s="7" t="n">
        <f aca="false">SUM(B16:D16)</f>
        <v>26</v>
      </c>
    </row>
    <row r="17" customFormat="false" ht="15" hidden="false" customHeight="false" outlineLevel="0" collapsed="false">
      <c r="A17" s="11" t="s">
        <v>17</v>
      </c>
      <c r="B17" s="7" t="n">
        <f aca="false">COUNTIFS('All Stories'!$F$5:$F$57,$A17,'All Stories'!$A$5:$A$57,"V1")</f>
        <v>15</v>
      </c>
      <c r="C17" s="7" t="n">
        <f aca="false">COUNTIFS('All Stories'!$F$5:$F$57,$A17,'All Stories'!$A$5:$A$57,"V2")</f>
        <v>4</v>
      </c>
      <c r="D17" s="7" t="n">
        <f aca="false">COUNTIFS('All Stories'!$F$5:$F$57,$A17,'All Stories'!$A$5:$A$57,"V3")</f>
        <v>0</v>
      </c>
      <c r="E17" s="7" t="n">
        <f aca="false">SUM(B17:D17)</f>
        <v>19</v>
      </c>
    </row>
    <row r="18" customFormat="false" ht="15" hidden="false" customHeight="false" outlineLevel="0" collapsed="false">
      <c r="A18" s="12" t="s">
        <v>18</v>
      </c>
      <c r="B18" s="7" t="n">
        <f aca="false">COUNTIFS('All Stories'!$F$5:$F$57,$A18,'All Stories'!$A$5:$A$57,"V1")</f>
        <v>0</v>
      </c>
      <c r="C18" s="7" t="n">
        <f aca="false">COUNTIFS('All Stories'!$F$5:$F$57,$A18,'All Stories'!$A$5:$A$57,"V2")</f>
        <v>4</v>
      </c>
      <c r="D18" s="7" t="n">
        <f aca="false">COUNTIFS('All Stories'!$F$5:$F$57,$A18,'All Stories'!$A$5:$A$57,"V3")</f>
        <v>4</v>
      </c>
      <c r="E18" s="7" t="n">
        <f aca="false">SUM(B18:D18)</f>
        <v>8</v>
      </c>
    </row>
    <row r="19" customFormat="false" ht="15" hidden="false" customHeight="false" outlineLevel="0" collapsed="false">
      <c r="A19" s="8" t="s">
        <v>7</v>
      </c>
      <c r="B19" s="9" t="n">
        <f aca="false">SUM(B16:B18)</f>
        <v>41</v>
      </c>
      <c r="C19" s="9" t="n">
        <f aca="false">SUM(C16:C18)</f>
        <v>8</v>
      </c>
      <c r="D19" s="9" t="n">
        <f aca="false">SUM(D16:D18)</f>
        <v>4</v>
      </c>
      <c r="E19" s="9" t="n">
        <f aca="false">SUM(E16:E18)</f>
        <v>53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false" outlineLevel="0" collapsed="false">
      <c r="A22" s="4" t="s">
        <v>20</v>
      </c>
      <c r="B22" s="5" t="s">
        <v>21</v>
      </c>
    </row>
    <row r="23" customFormat="false" ht="15" hidden="false" customHeight="false" outlineLevel="0" collapsed="false">
      <c r="A23" s="6" t="s">
        <v>22</v>
      </c>
      <c r="B23" s="7" t="n">
        <f aca="false">COUNTIF('All Stories'!$J$5:$J$57,$A23)</f>
        <v>40</v>
      </c>
    </row>
    <row r="24" customFormat="false" ht="15" hidden="false" customHeight="false" outlineLevel="0" collapsed="false">
      <c r="A24" s="6" t="s">
        <v>23</v>
      </c>
      <c r="B24" s="7" t="n">
        <f aca="false">COUNTIF('All Stories'!$J$5:$J$57,$A24)</f>
        <v>13</v>
      </c>
    </row>
    <row r="25" customFormat="false" ht="15" hidden="false" customHeight="false" outlineLevel="0" collapsed="false">
      <c r="A25" s="6" t="s">
        <v>24</v>
      </c>
      <c r="B25" s="7" t="n">
        <f aca="false">COUNTIF('All Stories'!$J$5:$J$57,$A25)</f>
        <v>0</v>
      </c>
    </row>
    <row r="26" customFormat="false" ht="15" hidden="false" customHeight="false" outlineLevel="0" collapsed="false">
      <c r="A26" s="6" t="s">
        <v>25</v>
      </c>
      <c r="B26" s="7" t="n">
        <f aca="false">COUNTIF('All Stories'!$J$5:$J$57,$A26)</f>
        <v>0</v>
      </c>
    </row>
    <row r="27" customFormat="false" ht="15" hidden="false" customHeight="false" outlineLevel="0" collapsed="false">
      <c r="A27" s="6" t="s">
        <v>26</v>
      </c>
      <c r="B27" s="7" t="n">
        <f aca="false">COUNTIF('All Stories'!$J$5:$J$57,$A27)</f>
        <v>0</v>
      </c>
    </row>
    <row r="28" customFormat="false" ht="15" hidden="false" customHeight="false" outlineLevel="0" collapsed="false">
      <c r="A28" s="6" t="s">
        <v>27</v>
      </c>
      <c r="B28" s="7" t="n">
        <f aca="false">COUNTIF('All Stories'!$J$5:$J$57,$A28)</f>
        <v>0</v>
      </c>
    </row>
    <row r="29" customFormat="false" ht="15" hidden="false" customHeight="false" outlineLevel="0" collapsed="false">
      <c r="A29" s="6" t="s">
        <v>28</v>
      </c>
      <c r="B29" s="7" t="n">
        <f aca="false">COUNTIF('All Stories'!$J$5:$J$57,$A29)</f>
        <v>0</v>
      </c>
    </row>
    <row r="30" customFormat="false" ht="15" hidden="false" customHeight="false" outlineLevel="0" collapsed="false">
      <c r="A30" s="8" t="s">
        <v>7</v>
      </c>
      <c r="B30" s="9" t="n">
        <f aca="false">SUM(B23:B29)</f>
        <v>53</v>
      </c>
    </row>
    <row r="32" customFormat="false" ht="15" hidden="false" customHeight="false" outlineLevel="0" collapsed="false">
      <c r="A32" s="3" t="s">
        <v>29</v>
      </c>
    </row>
    <row r="33" customFormat="false" ht="15" hidden="false" customHeight="false" outlineLevel="0" collapsed="false">
      <c r="A33" s="6" t="s">
        <v>30</v>
      </c>
      <c r="B33" s="7" t="n">
        <f aca="false">COUNTA('All Stories'!$B$5:$B$57)</f>
        <v>53</v>
      </c>
    </row>
    <row r="34" customFormat="false" ht="15" hidden="false" customHeight="false" outlineLevel="0" collapsed="false">
      <c r="A34" s="6" t="s">
        <v>31</v>
      </c>
      <c r="B34" s="7" t="str">
        <f aca="false">IF(E12=B33,"OK","MISMATCH")</f>
        <v>OK</v>
      </c>
    </row>
    <row r="36" customFormat="false" ht="15" hidden="false" customHeight="false" outlineLevel="0" collapsed="false">
      <c r="A36" s="3" t="s">
        <v>32</v>
      </c>
    </row>
    <row r="37" customFormat="false" ht="15" hidden="false" customHeight="false" outlineLevel="0" collapsed="false">
      <c r="A37" s="13" t="s">
        <v>33</v>
      </c>
    </row>
    <row r="38" customFormat="false" ht="15" hidden="false" customHeight="false" outlineLevel="0" collapsed="false">
      <c r="A38" s="13" t="s">
        <v>34</v>
      </c>
    </row>
    <row r="39" customFormat="false" ht="15" hidden="false" customHeight="false" outlineLevel="0" collapsed="false">
      <c r="A39" s="13" t="s">
        <v>35</v>
      </c>
    </row>
    <row r="40" customFormat="false" ht="15" hidden="false" customHeight="false" outlineLevel="0" collapsed="false">
      <c r="A40" s="13" t="s">
        <v>36</v>
      </c>
    </row>
    <row r="41" customFormat="false" ht="15" hidden="false" customHeight="false" outlineLevel="0" collapsed="false">
      <c r="A41" s="1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6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24" hidden="false" customHeight="true" outlineLevel="0" collapsed="false">
      <c r="A4" s="14" t="s">
        <v>40</v>
      </c>
      <c r="B4" s="14" t="s">
        <v>41</v>
      </c>
      <c r="C4" s="14" t="s">
        <v>42</v>
      </c>
      <c r="D4" s="14" t="s">
        <v>3</v>
      </c>
      <c r="E4" s="14" t="s">
        <v>43</v>
      </c>
      <c r="F4" s="14" t="s">
        <v>15</v>
      </c>
      <c r="G4" s="14" t="s">
        <v>44</v>
      </c>
      <c r="H4" s="14" t="s">
        <v>45</v>
      </c>
      <c r="I4" s="14" t="s">
        <v>46</v>
      </c>
      <c r="J4" s="14" t="s">
        <v>20</v>
      </c>
    </row>
    <row r="5" customFormat="false" ht="19.5" hidden="false" customHeight="true" outlineLevel="0" collapsed="false">
      <c r="A5" s="15" t="s">
        <v>47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103.5" hidden="false" customHeight="true" outlineLevel="0" collapsed="false">
      <c r="A6" s="16" t="s">
        <v>4</v>
      </c>
      <c r="B6" s="17" t="s">
        <v>48</v>
      </c>
      <c r="C6" s="18" t="s">
        <v>49</v>
      </c>
      <c r="D6" s="19" t="s">
        <v>8</v>
      </c>
      <c r="E6" s="19" t="s">
        <v>50</v>
      </c>
      <c r="F6" s="20" t="s">
        <v>16</v>
      </c>
      <c r="G6" s="19" t="s">
        <v>51</v>
      </c>
      <c r="H6" s="19" t="s">
        <v>52</v>
      </c>
      <c r="I6" s="19" t="s">
        <v>53</v>
      </c>
      <c r="J6" s="19" t="s">
        <v>23</v>
      </c>
    </row>
    <row r="7" customFormat="false" ht="115.5" hidden="false" customHeight="true" outlineLevel="0" collapsed="false">
      <c r="A7" s="16" t="s">
        <v>4</v>
      </c>
      <c r="B7" s="17" t="s">
        <v>54</v>
      </c>
      <c r="C7" s="18" t="s">
        <v>55</v>
      </c>
      <c r="D7" s="19" t="s">
        <v>8</v>
      </c>
      <c r="E7" s="19" t="s">
        <v>56</v>
      </c>
      <c r="F7" s="20" t="s">
        <v>16</v>
      </c>
      <c r="G7" s="19" t="s">
        <v>57</v>
      </c>
      <c r="H7" s="19" t="s">
        <v>58</v>
      </c>
      <c r="I7" s="19" t="s">
        <v>59</v>
      </c>
      <c r="J7" s="19" t="s">
        <v>22</v>
      </c>
    </row>
    <row r="8" customFormat="false" ht="79.5" hidden="false" customHeight="true" outlineLevel="0" collapsed="false">
      <c r="A8" s="16" t="s">
        <v>4</v>
      </c>
      <c r="B8" s="17" t="s">
        <v>60</v>
      </c>
      <c r="C8" s="18" t="s">
        <v>61</v>
      </c>
      <c r="D8" s="19" t="s">
        <v>8</v>
      </c>
      <c r="E8" s="19" t="s">
        <v>56</v>
      </c>
      <c r="F8" s="20" t="s">
        <v>16</v>
      </c>
      <c r="G8" s="19" t="s">
        <v>62</v>
      </c>
      <c r="H8" s="19" t="s">
        <v>63</v>
      </c>
      <c r="I8" s="19" t="s">
        <v>64</v>
      </c>
      <c r="J8" s="19" t="s">
        <v>22</v>
      </c>
    </row>
    <row r="9" customFormat="false" ht="67.5" hidden="false" customHeight="true" outlineLevel="0" collapsed="false">
      <c r="A9" s="16" t="s">
        <v>4</v>
      </c>
      <c r="B9" s="17" t="s">
        <v>65</v>
      </c>
      <c r="C9" s="18" t="s">
        <v>66</v>
      </c>
      <c r="D9" s="19" t="s">
        <v>8</v>
      </c>
      <c r="E9" s="19" t="s">
        <v>56</v>
      </c>
      <c r="F9" s="20" t="s">
        <v>16</v>
      </c>
      <c r="G9" s="19" t="s">
        <v>67</v>
      </c>
      <c r="H9" s="19" t="s">
        <v>68</v>
      </c>
      <c r="I9" s="19" t="s">
        <v>69</v>
      </c>
      <c r="J9" s="19" t="s">
        <v>22</v>
      </c>
    </row>
    <row r="10" customFormat="false" ht="67.5" hidden="false" customHeight="true" outlineLevel="0" collapsed="false">
      <c r="A10" s="16" t="s">
        <v>4</v>
      </c>
      <c r="B10" s="17" t="s">
        <v>70</v>
      </c>
      <c r="C10" s="18" t="s">
        <v>71</v>
      </c>
      <c r="D10" s="19" t="s">
        <v>8</v>
      </c>
      <c r="E10" s="19" t="s">
        <v>56</v>
      </c>
      <c r="F10" s="20" t="s">
        <v>16</v>
      </c>
      <c r="G10" s="19" t="s">
        <v>72</v>
      </c>
      <c r="H10" s="19" t="s">
        <v>73</v>
      </c>
      <c r="I10" s="19" t="s">
        <v>74</v>
      </c>
      <c r="J10" s="19" t="s">
        <v>22</v>
      </c>
    </row>
    <row r="11" customFormat="false" ht="79.5" hidden="false" customHeight="true" outlineLevel="0" collapsed="false">
      <c r="A11" s="16" t="s">
        <v>4</v>
      </c>
      <c r="B11" s="17" t="s">
        <v>75</v>
      </c>
      <c r="C11" s="18" t="s">
        <v>76</v>
      </c>
      <c r="D11" s="19" t="s">
        <v>8</v>
      </c>
      <c r="E11" s="19" t="s">
        <v>56</v>
      </c>
      <c r="F11" s="20" t="s">
        <v>16</v>
      </c>
      <c r="G11" s="19" t="s">
        <v>77</v>
      </c>
      <c r="H11" s="19" t="s">
        <v>78</v>
      </c>
      <c r="I11" s="19" t="s">
        <v>79</v>
      </c>
      <c r="J11" s="19" t="s">
        <v>22</v>
      </c>
    </row>
    <row r="12" customFormat="false" ht="115.5" hidden="false" customHeight="true" outlineLevel="0" collapsed="false">
      <c r="A12" s="16" t="s">
        <v>4</v>
      </c>
      <c r="B12" s="17" t="s">
        <v>80</v>
      </c>
      <c r="C12" s="18" t="s">
        <v>81</v>
      </c>
      <c r="D12" s="19" t="s">
        <v>8</v>
      </c>
      <c r="E12" s="19" t="s">
        <v>82</v>
      </c>
      <c r="F12" s="20" t="s">
        <v>16</v>
      </c>
      <c r="G12" s="19" t="s">
        <v>83</v>
      </c>
      <c r="H12" s="19" t="s">
        <v>84</v>
      </c>
      <c r="I12" s="19" t="s">
        <v>85</v>
      </c>
      <c r="J12" s="19" t="s">
        <v>23</v>
      </c>
    </row>
    <row r="13" customFormat="false" ht="67.5" hidden="false" customHeight="true" outlineLevel="0" collapsed="false">
      <c r="A13" s="16" t="s">
        <v>4</v>
      </c>
      <c r="B13" s="17" t="s">
        <v>86</v>
      </c>
      <c r="C13" s="18" t="s">
        <v>87</v>
      </c>
      <c r="D13" s="19" t="s">
        <v>8</v>
      </c>
      <c r="E13" s="19" t="s">
        <v>82</v>
      </c>
      <c r="F13" s="20" t="s">
        <v>16</v>
      </c>
      <c r="G13" s="19" t="s">
        <v>88</v>
      </c>
      <c r="H13" s="19" t="s">
        <v>89</v>
      </c>
      <c r="I13" s="19" t="s">
        <v>90</v>
      </c>
      <c r="J13" s="19" t="s">
        <v>22</v>
      </c>
    </row>
    <row r="14" customFormat="false" ht="79.5" hidden="false" customHeight="true" outlineLevel="0" collapsed="false">
      <c r="A14" s="16" t="s">
        <v>4</v>
      </c>
      <c r="B14" s="17" t="s">
        <v>91</v>
      </c>
      <c r="C14" s="18" t="s">
        <v>92</v>
      </c>
      <c r="D14" s="19" t="s">
        <v>8</v>
      </c>
      <c r="E14" s="19" t="s">
        <v>82</v>
      </c>
      <c r="F14" s="20" t="s">
        <v>16</v>
      </c>
      <c r="G14" s="19" t="s">
        <v>93</v>
      </c>
      <c r="H14" s="19" t="s">
        <v>94</v>
      </c>
      <c r="I14" s="19" t="s">
        <v>95</v>
      </c>
      <c r="J14" s="19" t="s">
        <v>23</v>
      </c>
    </row>
    <row r="15" customFormat="false" ht="79.5" hidden="false" customHeight="true" outlineLevel="0" collapsed="false">
      <c r="A15" s="16" t="s">
        <v>4</v>
      </c>
      <c r="B15" s="17" t="s">
        <v>96</v>
      </c>
      <c r="C15" s="18" t="s">
        <v>97</v>
      </c>
      <c r="D15" s="19" t="s">
        <v>8</v>
      </c>
      <c r="E15" s="19" t="s">
        <v>82</v>
      </c>
      <c r="F15" s="20" t="s">
        <v>16</v>
      </c>
      <c r="G15" s="19" t="s">
        <v>98</v>
      </c>
      <c r="H15" s="19" t="s">
        <v>99</v>
      </c>
      <c r="I15" s="19" t="s">
        <v>100</v>
      </c>
      <c r="J15" s="19" t="s">
        <v>22</v>
      </c>
    </row>
    <row r="16" customFormat="false" ht="67.5" hidden="false" customHeight="true" outlineLevel="0" collapsed="false">
      <c r="A16" s="16" t="s">
        <v>4</v>
      </c>
      <c r="B16" s="17" t="s">
        <v>101</v>
      </c>
      <c r="C16" s="18" t="s">
        <v>102</v>
      </c>
      <c r="D16" s="19" t="s">
        <v>8</v>
      </c>
      <c r="E16" s="19" t="s">
        <v>103</v>
      </c>
      <c r="F16" s="20" t="s">
        <v>16</v>
      </c>
      <c r="G16" s="19" t="s">
        <v>104</v>
      </c>
      <c r="H16" s="19" t="s">
        <v>105</v>
      </c>
      <c r="I16" s="19" t="s">
        <v>106</v>
      </c>
      <c r="J16" s="19" t="s">
        <v>22</v>
      </c>
    </row>
    <row r="17" customFormat="false" ht="79.5" hidden="false" customHeight="true" outlineLevel="0" collapsed="false">
      <c r="A17" s="16" t="s">
        <v>4</v>
      </c>
      <c r="B17" s="17" t="s">
        <v>107</v>
      </c>
      <c r="C17" s="18" t="s">
        <v>108</v>
      </c>
      <c r="D17" s="19" t="s">
        <v>8</v>
      </c>
      <c r="E17" s="19" t="s">
        <v>109</v>
      </c>
      <c r="F17" s="20" t="s">
        <v>16</v>
      </c>
      <c r="G17" s="19" t="s">
        <v>110</v>
      </c>
      <c r="H17" s="19" t="s">
        <v>111</v>
      </c>
      <c r="I17" s="19" t="s">
        <v>112</v>
      </c>
      <c r="J17" s="19" t="s">
        <v>22</v>
      </c>
    </row>
    <row r="18" customFormat="false" ht="67.5" hidden="false" customHeight="true" outlineLevel="0" collapsed="false">
      <c r="A18" s="16" t="s">
        <v>4</v>
      </c>
      <c r="B18" s="17" t="s">
        <v>113</v>
      </c>
      <c r="C18" s="18" t="s">
        <v>114</v>
      </c>
      <c r="D18" s="19" t="s">
        <v>8</v>
      </c>
      <c r="E18" s="19" t="s">
        <v>109</v>
      </c>
      <c r="F18" s="20" t="s">
        <v>16</v>
      </c>
      <c r="G18" s="19" t="s">
        <v>115</v>
      </c>
      <c r="H18" s="19" t="s">
        <v>116</v>
      </c>
      <c r="I18" s="19" t="s">
        <v>117</v>
      </c>
      <c r="J18" s="19" t="s">
        <v>22</v>
      </c>
    </row>
    <row r="19" customFormat="false" ht="79.5" hidden="false" customHeight="true" outlineLevel="0" collapsed="false">
      <c r="A19" s="16" t="s">
        <v>4</v>
      </c>
      <c r="B19" s="17" t="s">
        <v>118</v>
      </c>
      <c r="C19" s="18" t="s">
        <v>119</v>
      </c>
      <c r="D19" s="19" t="s">
        <v>8</v>
      </c>
      <c r="E19" s="19" t="s">
        <v>120</v>
      </c>
      <c r="F19" s="20" t="s">
        <v>16</v>
      </c>
      <c r="G19" s="19" t="s">
        <v>121</v>
      </c>
      <c r="H19" s="19" t="s">
        <v>122</v>
      </c>
      <c r="I19" s="19" t="s">
        <v>123</v>
      </c>
      <c r="J19" s="19" t="s">
        <v>22</v>
      </c>
    </row>
    <row r="20" customFormat="false" ht="79.5" hidden="false" customHeight="true" outlineLevel="0" collapsed="false">
      <c r="A20" s="16" t="s">
        <v>4</v>
      </c>
      <c r="B20" s="17" t="s">
        <v>124</v>
      </c>
      <c r="C20" s="18" t="s">
        <v>125</v>
      </c>
      <c r="D20" s="19" t="s">
        <v>8</v>
      </c>
      <c r="E20" s="19" t="s">
        <v>120</v>
      </c>
      <c r="F20" s="20" t="s">
        <v>16</v>
      </c>
      <c r="G20" s="19" t="s">
        <v>126</v>
      </c>
      <c r="H20" s="19" t="s">
        <v>127</v>
      </c>
      <c r="I20" s="19" t="s">
        <v>128</v>
      </c>
      <c r="J20" s="19" t="s">
        <v>22</v>
      </c>
    </row>
    <row r="21" customFormat="false" ht="91.5" hidden="false" customHeight="true" outlineLevel="0" collapsed="false">
      <c r="A21" s="16" t="s">
        <v>4</v>
      </c>
      <c r="B21" s="17" t="s">
        <v>129</v>
      </c>
      <c r="C21" s="18" t="s">
        <v>130</v>
      </c>
      <c r="D21" s="19" t="s">
        <v>8</v>
      </c>
      <c r="E21" s="19" t="s">
        <v>120</v>
      </c>
      <c r="F21" s="20" t="s">
        <v>16</v>
      </c>
      <c r="G21" s="19" t="s">
        <v>131</v>
      </c>
      <c r="H21" s="19" t="s">
        <v>132</v>
      </c>
      <c r="I21" s="19" t="s">
        <v>133</v>
      </c>
      <c r="J21" s="19" t="s">
        <v>22</v>
      </c>
    </row>
    <row r="22" customFormat="false" ht="79.5" hidden="false" customHeight="true" outlineLevel="0" collapsed="false">
      <c r="A22" s="16" t="s">
        <v>4</v>
      </c>
      <c r="B22" s="17" t="s">
        <v>134</v>
      </c>
      <c r="C22" s="18" t="s">
        <v>135</v>
      </c>
      <c r="D22" s="19" t="s">
        <v>8</v>
      </c>
      <c r="E22" s="19" t="s">
        <v>136</v>
      </c>
      <c r="F22" s="20" t="s">
        <v>16</v>
      </c>
      <c r="G22" s="19" t="s">
        <v>137</v>
      </c>
      <c r="H22" s="19" t="s">
        <v>138</v>
      </c>
      <c r="I22" s="19" t="s">
        <v>139</v>
      </c>
      <c r="J22" s="19" t="s">
        <v>23</v>
      </c>
    </row>
    <row r="23" customFormat="false" ht="67.5" hidden="false" customHeight="true" outlineLevel="0" collapsed="false">
      <c r="A23" s="16" t="s">
        <v>4</v>
      </c>
      <c r="B23" s="17" t="s">
        <v>140</v>
      </c>
      <c r="C23" s="18" t="s">
        <v>141</v>
      </c>
      <c r="D23" s="19" t="s">
        <v>8</v>
      </c>
      <c r="E23" s="19" t="s">
        <v>56</v>
      </c>
      <c r="F23" s="21" t="s">
        <v>17</v>
      </c>
      <c r="G23" s="19" t="s">
        <v>142</v>
      </c>
      <c r="H23" s="19" t="s">
        <v>143</v>
      </c>
      <c r="I23" s="19" t="s">
        <v>144</v>
      </c>
      <c r="J23" s="19" t="s">
        <v>22</v>
      </c>
    </row>
    <row r="24" customFormat="false" ht="79.5" hidden="false" customHeight="true" outlineLevel="0" collapsed="false">
      <c r="A24" s="16" t="s">
        <v>4</v>
      </c>
      <c r="B24" s="17" t="s">
        <v>145</v>
      </c>
      <c r="C24" s="18" t="s">
        <v>146</v>
      </c>
      <c r="D24" s="19" t="s">
        <v>8</v>
      </c>
      <c r="E24" s="19" t="s">
        <v>82</v>
      </c>
      <c r="F24" s="21" t="s">
        <v>17</v>
      </c>
      <c r="G24" s="19" t="s">
        <v>147</v>
      </c>
      <c r="H24" s="19" t="s">
        <v>148</v>
      </c>
      <c r="I24" s="19" t="s">
        <v>149</v>
      </c>
      <c r="J24" s="19" t="s">
        <v>22</v>
      </c>
    </row>
    <row r="25" customFormat="false" ht="43.5" hidden="false" customHeight="true" outlineLevel="0" collapsed="false">
      <c r="A25" s="16" t="s">
        <v>4</v>
      </c>
      <c r="B25" s="17" t="s">
        <v>150</v>
      </c>
      <c r="C25" s="18" t="s">
        <v>151</v>
      </c>
      <c r="D25" s="19" t="s">
        <v>8</v>
      </c>
      <c r="E25" s="19" t="s">
        <v>82</v>
      </c>
      <c r="F25" s="21" t="s">
        <v>17</v>
      </c>
      <c r="G25" s="19" t="s">
        <v>152</v>
      </c>
      <c r="H25" s="19" t="s">
        <v>153</v>
      </c>
      <c r="I25" s="19" t="s">
        <v>154</v>
      </c>
      <c r="J25" s="19" t="s">
        <v>22</v>
      </c>
    </row>
    <row r="26" customFormat="false" ht="67.5" hidden="false" customHeight="true" outlineLevel="0" collapsed="false">
      <c r="A26" s="16" t="s">
        <v>4</v>
      </c>
      <c r="B26" s="17" t="s">
        <v>155</v>
      </c>
      <c r="C26" s="18" t="s">
        <v>156</v>
      </c>
      <c r="D26" s="19" t="s">
        <v>8</v>
      </c>
      <c r="E26" s="19" t="s">
        <v>103</v>
      </c>
      <c r="F26" s="21" t="s">
        <v>17</v>
      </c>
      <c r="G26" s="19" t="s">
        <v>157</v>
      </c>
      <c r="H26" s="19" t="s">
        <v>158</v>
      </c>
      <c r="I26" s="19" t="s">
        <v>159</v>
      </c>
      <c r="J26" s="19" t="s">
        <v>22</v>
      </c>
    </row>
    <row r="27" customFormat="false" ht="55.5" hidden="false" customHeight="true" outlineLevel="0" collapsed="false">
      <c r="A27" s="16" t="s">
        <v>4</v>
      </c>
      <c r="B27" s="17" t="s">
        <v>160</v>
      </c>
      <c r="C27" s="18" t="s">
        <v>161</v>
      </c>
      <c r="D27" s="19" t="s">
        <v>8</v>
      </c>
      <c r="E27" s="19" t="s">
        <v>109</v>
      </c>
      <c r="F27" s="21" t="s">
        <v>17</v>
      </c>
      <c r="G27" s="19" t="s">
        <v>162</v>
      </c>
      <c r="H27" s="19" t="s">
        <v>163</v>
      </c>
      <c r="I27" s="19" t="s">
        <v>164</v>
      </c>
      <c r="J27" s="19" t="s">
        <v>22</v>
      </c>
    </row>
    <row r="28" customFormat="false" ht="55.5" hidden="false" customHeight="true" outlineLevel="0" collapsed="false">
      <c r="A28" s="16" t="s">
        <v>4</v>
      </c>
      <c r="B28" s="17" t="s">
        <v>165</v>
      </c>
      <c r="C28" s="18" t="s">
        <v>166</v>
      </c>
      <c r="D28" s="19" t="s">
        <v>8</v>
      </c>
      <c r="E28" s="19" t="s">
        <v>120</v>
      </c>
      <c r="F28" s="21" t="s">
        <v>17</v>
      </c>
      <c r="G28" s="19" t="s">
        <v>167</v>
      </c>
      <c r="H28" s="19" t="s">
        <v>168</v>
      </c>
      <c r="I28" s="19" t="s">
        <v>169</v>
      </c>
      <c r="J28" s="19" t="s">
        <v>22</v>
      </c>
    </row>
    <row r="29" customFormat="false" ht="55.5" hidden="false" customHeight="true" outlineLevel="0" collapsed="false">
      <c r="A29" s="16" t="s">
        <v>4</v>
      </c>
      <c r="B29" s="17" t="s">
        <v>170</v>
      </c>
      <c r="C29" s="18" t="s">
        <v>171</v>
      </c>
      <c r="D29" s="19" t="s">
        <v>8</v>
      </c>
      <c r="E29" s="19" t="s">
        <v>136</v>
      </c>
      <c r="F29" s="21" t="s">
        <v>17</v>
      </c>
      <c r="G29" s="19" t="s">
        <v>172</v>
      </c>
      <c r="H29" s="19" t="s">
        <v>173</v>
      </c>
      <c r="I29" s="19" t="s">
        <v>174</v>
      </c>
      <c r="J29" s="19" t="s">
        <v>23</v>
      </c>
    </row>
    <row r="30" customFormat="false" ht="67.5" hidden="false" customHeight="true" outlineLevel="0" collapsed="false">
      <c r="A30" s="16" t="s">
        <v>4</v>
      </c>
      <c r="B30" s="17" t="s">
        <v>175</v>
      </c>
      <c r="C30" s="18" t="s">
        <v>176</v>
      </c>
      <c r="D30" s="19" t="s">
        <v>8</v>
      </c>
      <c r="E30" s="19" t="s">
        <v>177</v>
      </c>
      <c r="F30" s="21" t="s">
        <v>17</v>
      </c>
      <c r="G30" s="19" t="s">
        <v>178</v>
      </c>
      <c r="H30" s="19" t="s">
        <v>179</v>
      </c>
      <c r="I30" s="19" t="s">
        <v>180</v>
      </c>
      <c r="J30" s="19" t="s">
        <v>22</v>
      </c>
    </row>
    <row r="31" customFormat="false" ht="55.5" hidden="false" customHeight="true" outlineLevel="0" collapsed="false">
      <c r="A31" s="16" t="s">
        <v>4</v>
      </c>
      <c r="B31" s="17" t="s">
        <v>181</v>
      </c>
      <c r="C31" s="18" t="s">
        <v>182</v>
      </c>
      <c r="D31" s="19" t="s">
        <v>8</v>
      </c>
      <c r="E31" s="19" t="s">
        <v>177</v>
      </c>
      <c r="F31" s="21" t="s">
        <v>17</v>
      </c>
      <c r="G31" s="19" t="s">
        <v>183</v>
      </c>
      <c r="H31" s="19" t="s">
        <v>184</v>
      </c>
      <c r="I31" s="19" t="s">
        <v>185</v>
      </c>
      <c r="J31" s="19" t="s">
        <v>22</v>
      </c>
    </row>
    <row r="32" customFormat="false" ht="19.5" hidden="false" customHeight="true" outlineLevel="0" collapsed="false">
      <c r="A32" s="15" t="s">
        <v>186</v>
      </c>
      <c r="B32" s="15"/>
      <c r="C32" s="15"/>
      <c r="D32" s="15"/>
      <c r="E32" s="15"/>
      <c r="F32" s="15"/>
      <c r="G32" s="15"/>
      <c r="H32" s="15"/>
      <c r="I32" s="15"/>
      <c r="J32" s="15"/>
    </row>
    <row r="33" customFormat="false" ht="67.5" hidden="false" customHeight="true" outlineLevel="0" collapsed="false">
      <c r="A33" s="16" t="s">
        <v>4</v>
      </c>
      <c r="B33" s="17" t="s">
        <v>187</v>
      </c>
      <c r="C33" s="18" t="s">
        <v>188</v>
      </c>
      <c r="D33" s="19" t="s">
        <v>9</v>
      </c>
      <c r="E33" s="19" t="s">
        <v>103</v>
      </c>
      <c r="F33" s="20" t="s">
        <v>16</v>
      </c>
      <c r="G33" s="19" t="s">
        <v>189</v>
      </c>
      <c r="H33" s="19" t="s">
        <v>190</v>
      </c>
      <c r="I33" s="19" t="s">
        <v>191</v>
      </c>
      <c r="J33" s="19" t="s">
        <v>22</v>
      </c>
    </row>
    <row r="34" customFormat="false" ht="19.5" hidden="false" customHeight="true" outlineLevel="0" collapsed="false">
      <c r="A34" s="15" t="s">
        <v>192</v>
      </c>
      <c r="B34" s="15"/>
      <c r="C34" s="15"/>
      <c r="D34" s="15"/>
      <c r="E34" s="15"/>
      <c r="F34" s="15"/>
      <c r="G34" s="15"/>
      <c r="H34" s="15"/>
      <c r="I34" s="15"/>
      <c r="J34" s="15"/>
    </row>
    <row r="35" customFormat="false" ht="91.5" hidden="false" customHeight="true" outlineLevel="0" collapsed="false">
      <c r="A35" s="16" t="s">
        <v>4</v>
      </c>
      <c r="B35" s="17" t="s">
        <v>193</v>
      </c>
      <c r="C35" s="18" t="s">
        <v>194</v>
      </c>
      <c r="D35" s="19" t="s">
        <v>10</v>
      </c>
      <c r="E35" s="19" t="s">
        <v>195</v>
      </c>
      <c r="F35" s="21" t="s">
        <v>17</v>
      </c>
      <c r="G35" s="19" t="s">
        <v>196</v>
      </c>
      <c r="H35" s="19" t="s">
        <v>197</v>
      </c>
      <c r="I35" s="19" t="s">
        <v>198</v>
      </c>
      <c r="J35" s="19" t="s">
        <v>23</v>
      </c>
    </row>
    <row r="36" customFormat="false" ht="19.5" hidden="false" customHeight="true" outlineLevel="0" collapsed="false">
      <c r="A36" s="15" t="s">
        <v>199</v>
      </c>
      <c r="B36" s="15"/>
      <c r="C36" s="15"/>
      <c r="D36" s="15"/>
      <c r="E36" s="15"/>
      <c r="F36" s="15"/>
      <c r="G36" s="15"/>
      <c r="H36" s="15"/>
      <c r="I36" s="15"/>
      <c r="J36" s="15"/>
    </row>
    <row r="37" customFormat="false" ht="67.5" hidden="false" customHeight="true" outlineLevel="0" collapsed="false">
      <c r="A37" s="16" t="s">
        <v>4</v>
      </c>
      <c r="B37" s="17" t="s">
        <v>200</v>
      </c>
      <c r="C37" s="18" t="s">
        <v>201</v>
      </c>
      <c r="D37" s="19" t="s">
        <v>11</v>
      </c>
      <c r="E37" s="19" t="s">
        <v>103</v>
      </c>
      <c r="F37" s="20" t="s">
        <v>16</v>
      </c>
      <c r="G37" s="19" t="s">
        <v>202</v>
      </c>
      <c r="H37" s="19" t="s">
        <v>203</v>
      </c>
      <c r="I37" s="19" t="s">
        <v>204</v>
      </c>
      <c r="J37" s="19" t="s">
        <v>22</v>
      </c>
    </row>
    <row r="38" customFormat="false" ht="67.5" hidden="false" customHeight="true" outlineLevel="0" collapsed="false">
      <c r="A38" s="16" t="s">
        <v>4</v>
      </c>
      <c r="B38" s="17" t="s">
        <v>205</v>
      </c>
      <c r="C38" s="18" t="s">
        <v>206</v>
      </c>
      <c r="D38" s="19" t="s">
        <v>11</v>
      </c>
      <c r="E38" s="19" t="s">
        <v>11</v>
      </c>
      <c r="F38" s="20" t="s">
        <v>16</v>
      </c>
      <c r="G38" s="19" t="s">
        <v>207</v>
      </c>
      <c r="H38" s="19" t="s">
        <v>208</v>
      </c>
      <c r="I38" s="19" t="s">
        <v>209</v>
      </c>
      <c r="J38" s="19" t="s">
        <v>22</v>
      </c>
    </row>
    <row r="39" customFormat="false" ht="79.5" hidden="false" customHeight="true" outlineLevel="0" collapsed="false">
      <c r="A39" s="16" t="s">
        <v>4</v>
      </c>
      <c r="B39" s="17" t="s">
        <v>210</v>
      </c>
      <c r="C39" s="18" t="s">
        <v>211</v>
      </c>
      <c r="D39" s="19" t="s">
        <v>11</v>
      </c>
      <c r="E39" s="19" t="s">
        <v>11</v>
      </c>
      <c r="F39" s="20" t="s">
        <v>16</v>
      </c>
      <c r="G39" s="19" t="s">
        <v>212</v>
      </c>
      <c r="H39" s="19" t="s">
        <v>213</v>
      </c>
      <c r="I39" s="19" t="s">
        <v>214</v>
      </c>
      <c r="J39" s="19" t="s">
        <v>23</v>
      </c>
    </row>
    <row r="40" customFormat="false" ht="55.5" hidden="false" customHeight="true" outlineLevel="0" collapsed="false">
      <c r="A40" s="16" t="s">
        <v>4</v>
      </c>
      <c r="B40" s="17" t="s">
        <v>215</v>
      </c>
      <c r="C40" s="18" t="s">
        <v>216</v>
      </c>
      <c r="D40" s="19" t="s">
        <v>11</v>
      </c>
      <c r="E40" s="19" t="s">
        <v>11</v>
      </c>
      <c r="F40" s="20" t="s">
        <v>16</v>
      </c>
      <c r="G40" s="19" t="s">
        <v>217</v>
      </c>
      <c r="H40" s="19" t="s">
        <v>218</v>
      </c>
      <c r="I40" s="19" t="s">
        <v>219</v>
      </c>
      <c r="J40" s="19" t="s">
        <v>22</v>
      </c>
    </row>
    <row r="41" customFormat="false" ht="79.5" hidden="false" customHeight="true" outlineLevel="0" collapsed="false">
      <c r="A41" s="16" t="s">
        <v>4</v>
      </c>
      <c r="B41" s="17" t="s">
        <v>220</v>
      </c>
      <c r="C41" s="18" t="s">
        <v>221</v>
      </c>
      <c r="D41" s="19" t="s">
        <v>11</v>
      </c>
      <c r="E41" s="19" t="s">
        <v>11</v>
      </c>
      <c r="F41" s="20" t="s">
        <v>16</v>
      </c>
      <c r="G41" s="19" t="s">
        <v>222</v>
      </c>
      <c r="H41" s="19" t="s">
        <v>223</v>
      </c>
      <c r="I41" s="19" t="s">
        <v>224</v>
      </c>
      <c r="J41" s="19" t="s">
        <v>22</v>
      </c>
    </row>
    <row r="42" customFormat="false" ht="55.5" hidden="false" customHeight="true" outlineLevel="0" collapsed="false">
      <c r="A42" s="16" t="s">
        <v>4</v>
      </c>
      <c r="B42" s="17" t="s">
        <v>225</v>
      </c>
      <c r="C42" s="18" t="s">
        <v>226</v>
      </c>
      <c r="D42" s="19" t="s">
        <v>11</v>
      </c>
      <c r="E42" s="19" t="s">
        <v>11</v>
      </c>
      <c r="F42" s="20" t="s">
        <v>16</v>
      </c>
      <c r="G42" s="19" t="s">
        <v>227</v>
      </c>
      <c r="H42" s="19" t="s">
        <v>228</v>
      </c>
      <c r="I42" s="19" t="s">
        <v>229</v>
      </c>
      <c r="J42" s="19" t="s">
        <v>22</v>
      </c>
    </row>
    <row r="43" customFormat="false" ht="55.5" hidden="false" customHeight="true" outlineLevel="0" collapsed="false">
      <c r="A43" s="16" t="s">
        <v>4</v>
      </c>
      <c r="B43" s="17" t="s">
        <v>230</v>
      </c>
      <c r="C43" s="18" t="s">
        <v>231</v>
      </c>
      <c r="D43" s="19" t="s">
        <v>11</v>
      </c>
      <c r="E43" s="19" t="s">
        <v>11</v>
      </c>
      <c r="F43" s="20" t="s">
        <v>16</v>
      </c>
      <c r="G43" s="19" t="s">
        <v>232</v>
      </c>
      <c r="H43" s="19" t="s">
        <v>233</v>
      </c>
      <c r="I43" s="19" t="s">
        <v>234</v>
      </c>
      <c r="J43" s="19" t="s">
        <v>22</v>
      </c>
    </row>
    <row r="44" customFormat="false" ht="67.5" hidden="false" customHeight="true" outlineLevel="0" collapsed="false">
      <c r="A44" s="16" t="s">
        <v>4</v>
      </c>
      <c r="B44" s="17" t="s">
        <v>235</v>
      </c>
      <c r="C44" s="18" t="s">
        <v>236</v>
      </c>
      <c r="D44" s="19" t="s">
        <v>11</v>
      </c>
      <c r="E44" s="19" t="s">
        <v>195</v>
      </c>
      <c r="F44" s="21" t="s">
        <v>17</v>
      </c>
      <c r="G44" s="19" t="s">
        <v>237</v>
      </c>
      <c r="H44" s="19" t="s">
        <v>238</v>
      </c>
      <c r="I44" s="19" t="s">
        <v>239</v>
      </c>
      <c r="J44" s="19" t="s">
        <v>23</v>
      </c>
    </row>
    <row r="45" customFormat="false" ht="55.5" hidden="false" customHeight="true" outlineLevel="0" collapsed="false">
      <c r="A45" s="16" t="s">
        <v>4</v>
      </c>
      <c r="B45" s="17" t="s">
        <v>240</v>
      </c>
      <c r="C45" s="18" t="s">
        <v>241</v>
      </c>
      <c r="D45" s="19" t="s">
        <v>11</v>
      </c>
      <c r="E45" s="19" t="s">
        <v>195</v>
      </c>
      <c r="F45" s="21" t="s">
        <v>17</v>
      </c>
      <c r="G45" s="19" t="s">
        <v>242</v>
      </c>
      <c r="H45" s="19" t="s">
        <v>243</v>
      </c>
      <c r="I45" s="19" t="s">
        <v>244</v>
      </c>
      <c r="J45" s="19" t="s">
        <v>23</v>
      </c>
    </row>
    <row r="46" customFormat="false" ht="79.5" hidden="false" customHeight="true" outlineLevel="0" collapsed="false">
      <c r="A46" s="16" t="s">
        <v>4</v>
      </c>
      <c r="B46" s="17" t="s">
        <v>245</v>
      </c>
      <c r="C46" s="18" t="s">
        <v>246</v>
      </c>
      <c r="D46" s="19" t="s">
        <v>11</v>
      </c>
      <c r="E46" s="19" t="s">
        <v>195</v>
      </c>
      <c r="F46" s="21" t="s">
        <v>17</v>
      </c>
      <c r="G46" s="19" t="s">
        <v>247</v>
      </c>
      <c r="H46" s="19" t="s">
        <v>248</v>
      </c>
      <c r="I46" s="19" t="s">
        <v>249</v>
      </c>
      <c r="J46" s="19" t="s">
        <v>23</v>
      </c>
    </row>
    <row r="47" customFormat="false" ht="55.5" hidden="false" customHeight="true" outlineLevel="0" collapsed="false">
      <c r="A47" s="16" t="s">
        <v>4</v>
      </c>
      <c r="B47" s="17" t="s">
        <v>250</v>
      </c>
      <c r="C47" s="18" t="s">
        <v>251</v>
      </c>
      <c r="D47" s="19" t="s">
        <v>11</v>
      </c>
      <c r="E47" s="19" t="s">
        <v>11</v>
      </c>
      <c r="F47" s="21" t="s">
        <v>17</v>
      </c>
      <c r="G47" s="19" t="s">
        <v>252</v>
      </c>
      <c r="H47" s="19" t="s">
        <v>253</v>
      </c>
      <c r="I47" s="19" t="s">
        <v>254</v>
      </c>
      <c r="J47" s="19" t="s">
        <v>22</v>
      </c>
    </row>
    <row r="48" customFormat="false" ht="19.5" hidden="false" customHeight="true" outlineLevel="0" collapsed="false">
      <c r="A48" s="15" t="s">
        <v>255</v>
      </c>
      <c r="B48" s="15"/>
      <c r="C48" s="15"/>
      <c r="D48" s="15"/>
      <c r="E48" s="15"/>
      <c r="F48" s="15"/>
      <c r="G48" s="15"/>
      <c r="H48" s="15"/>
      <c r="I48" s="15"/>
      <c r="J48" s="15"/>
    </row>
    <row r="49" customFormat="false" ht="79.5" hidden="false" customHeight="true" outlineLevel="0" collapsed="false">
      <c r="A49" s="16" t="s">
        <v>4</v>
      </c>
      <c r="B49" s="17" t="s">
        <v>256</v>
      </c>
      <c r="C49" s="18" t="s">
        <v>257</v>
      </c>
      <c r="D49" s="19" t="s">
        <v>12</v>
      </c>
      <c r="E49" s="19" t="s">
        <v>258</v>
      </c>
      <c r="F49" s="20" t="s">
        <v>16</v>
      </c>
      <c r="G49" s="19" t="s">
        <v>259</v>
      </c>
      <c r="H49" s="19" t="s">
        <v>260</v>
      </c>
      <c r="I49" s="19" t="s">
        <v>261</v>
      </c>
      <c r="J49" s="19" t="s">
        <v>22</v>
      </c>
    </row>
    <row r="50" customFormat="false" ht="43.5" hidden="false" customHeight="true" outlineLevel="0" collapsed="false">
      <c r="A50" s="16" t="s">
        <v>4</v>
      </c>
      <c r="B50" s="17" t="s">
        <v>262</v>
      </c>
      <c r="C50" s="18" t="s">
        <v>263</v>
      </c>
      <c r="D50" s="19" t="s">
        <v>12</v>
      </c>
      <c r="E50" s="19" t="s">
        <v>258</v>
      </c>
      <c r="F50" s="21" t="s">
        <v>17</v>
      </c>
      <c r="G50" s="19" t="s">
        <v>264</v>
      </c>
      <c r="H50" s="19" t="s">
        <v>265</v>
      </c>
      <c r="I50" s="19" t="s">
        <v>266</v>
      </c>
      <c r="J50" s="19" t="s">
        <v>23</v>
      </c>
    </row>
  </sheetData>
  <mergeCells count="5">
    <mergeCell ref="A5:J5"/>
    <mergeCell ref="A32:J32"/>
    <mergeCell ref="A34:J34"/>
    <mergeCell ref="A36:J36"/>
    <mergeCell ref="A48:J48"/>
  </mergeCells>
  <dataValidations count="2">
    <dataValidation allowBlank="true" errorStyle="stop" operator="between" showDropDown="false" showErrorMessage="false" showInputMessage="false" sqref="J5:J50" type="list">
      <formula1>"Draft,Clarification Required,Ready for Development,In Development,Ready for QA,Done,Blocked"</formula1>
      <formula2>0</formula2>
    </dataValidation>
    <dataValidation allowBlank="true" errorStyle="stop" operator="between" showDropDown="false" showErrorMessage="false" showInputMessage="false" sqref="F5:F50" type="list">
      <formula1>"Must Have,Should Have,Could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6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39</v>
      </c>
    </row>
    <row r="4" customFormat="false" ht="24" hidden="false" customHeight="true" outlineLevel="0" collapsed="false">
      <c r="A4" s="14" t="s">
        <v>40</v>
      </c>
      <c r="B4" s="14" t="s">
        <v>41</v>
      </c>
      <c r="C4" s="14" t="s">
        <v>42</v>
      </c>
      <c r="D4" s="14" t="s">
        <v>3</v>
      </c>
      <c r="E4" s="14" t="s">
        <v>43</v>
      </c>
      <c r="F4" s="14" t="s">
        <v>15</v>
      </c>
      <c r="G4" s="14" t="s">
        <v>44</v>
      </c>
      <c r="H4" s="14" t="s">
        <v>45</v>
      </c>
      <c r="I4" s="14" t="s">
        <v>46</v>
      </c>
      <c r="J4" s="14" t="s">
        <v>20</v>
      </c>
    </row>
    <row r="5" customFormat="false" ht="19.5" hidden="false" customHeight="true" outlineLevel="0" collapsed="false">
      <c r="A5" s="15" t="s">
        <v>47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103.5" hidden="false" customHeight="true" outlineLevel="0" collapsed="false">
      <c r="A6" s="16" t="s">
        <v>5</v>
      </c>
      <c r="B6" s="17" t="s">
        <v>268</v>
      </c>
      <c r="C6" s="18" t="s">
        <v>269</v>
      </c>
      <c r="D6" s="19" t="s">
        <v>8</v>
      </c>
      <c r="E6" s="19" t="s">
        <v>270</v>
      </c>
      <c r="F6" s="21" t="s">
        <v>17</v>
      </c>
      <c r="G6" s="19" t="s">
        <v>271</v>
      </c>
      <c r="H6" s="19" t="s">
        <v>272</v>
      </c>
      <c r="I6" s="19" t="s">
        <v>273</v>
      </c>
      <c r="J6" s="19" t="s">
        <v>22</v>
      </c>
    </row>
    <row r="7" customFormat="false" ht="67.5" hidden="false" customHeight="true" outlineLevel="0" collapsed="false">
      <c r="A7" s="16" t="s">
        <v>5</v>
      </c>
      <c r="B7" s="17" t="s">
        <v>274</v>
      </c>
      <c r="C7" s="18" t="s">
        <v>275</v>
      </c>
      <c r="D7" s="19" t="s">
        <v>8</v>
      </c>
      <c r="E7" s="19" t="s">
        <v>136</v>
      </c>
      <c r="F7" s="21" t="s">
        <v>17</v>
      </c>
      <c r="G7" s="19" t="s">
        <v>276</v>
      </c>
      <c r="H7" s="19" t="s">
        <v>277</v>
      </c>
      <c r="I7" s="19" t="s">
        <v>278</v>
      </c>
      <c r="J7" s="19" t="s">
        <v>22</v>
      </c>
    </row>
    <row r="8" customFormat="false" ht="55.5" hidden="false" customHeight="true" outlineLevel="0" collapsed="false">
      <c r="A8" s="16" t="s">
        <v>5</v>
      </c>
      <c r="B8" s="17" t="s">
        <v>279</v>
      </c>
      <c r="C8" s="18" t="s">
        <v>280</v>
      </c>
      <c r="D8" s="19" t="s">
        <v>8</v>
      </c>
      <c r="E8" s="19" t="s">
        <v>281</v>
      </c>
      <c r="F8" s="22" t="s">
        <v>18</v>
      </c>
      <c r="G8" s="19" t="s">
        <v>282</v>
      </c>
      <c r="H8" s="19" t="s">
        <v>283</v>
      </c>
      <c r="I8" s="19" t="s">
        <v>284</v>
      </c>
      <c r="J8" s="19" t="s">
        <v>22</v>
      </c>
    </row>
    <row r="9" customFormat="false" ht="55.5" hidden="false" customHeight="true" outlineLevel="0" collapsed="false">
      <c r="A9" s="16" t="s">
        <v>5</v>
      </c>
      <c r="B9" s="17" t="s">
        <v>285</v>
      </c>
      <c r="C9" s="18" t="s">
        <v>286</v>
      </c>
      <c r="D9" s="19" t="s">
        <v>8</v>
      </c>
      <c r="E9" s="19" t="s">
        <v>270</v>
      </c>
      <c r="F9" s="22" t="s">
        <v>18</v>
      </c>
      <c r="G9" s="19" t="s">
        <v>287</v>
      </c>
      <c r="H9" s="19" t="s">
        <v>288</v>
      </c>
      <c r="I9" s="19" t="s">
        <v>289</v>
      </c>
      <c r="J9" s="19" t="s">
        <v>22</v>
      </c>
    </row>
    <row r="10" customFormat="false" ht="19.5" hidden="false" customHeight="true" outlineLevel="0" collapsed="false">
      <c r="A10" s="15" t="s">
        <v>186</v>
      </c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67.5" hidden="false" customHeight="true" outlineLevel="0" collapsed="false">
      <c r="A11" s="16" t="s">
        <v>5</v>
      </c>
      <c r="B11" s="17" t="s">
        <v>290</v>
      </c>
      <c r="C11" s="18" t="s">
        <v>291</v>
      </c>
      <c r="D11" s="19" t="s">
        <v>9</v>
      </c>
      <c r="E11" s="19" t="s">
        <v>103</v>
      </c>
      <c r="F11" s="22" t="s">
        <v>18</v>
      </c>
      <c r="G11" s="19" t="s">
        <v>292</v>
      </c>
      <c r="H11" s="19" t="s">
        <v>293</v>
      </c>
      <c r="I11" s="19" t="s">
        <v>294</v>
      </c>
      <c r="J11" s="19" t="s">
        <v>22</v>
      </c>
    </row>
    <row r="12" customFormat="false" ht="19.5" hidden="false" customHeight="true" outlineLevel="0" collapsed="false">
      <c r="A12" s="15" t="s">
        <v>199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79.5" hidden="false" customHeight="true" outlineLevel="0" collapsed="false">
      <c r="A13" s="16" t="s">
        <v>5</v>
      </c>
      <c r="B13" s="17" t="s">
        <v>295</v>
      </c>
      <c r="C13" s="18" t="s">
        <v>296</v>
      </c>
      <c r="D13" s="19" t="s">
        <v>11</v>
      </c>
      <c r="E13" s="19" t="s">
        <v>11</v>
      </c>
      <c r="F13" s="21" t="s">
        <v>17</v>
      </c>
      <c r="G13" s="19" t="s">
        <v>297</v>
      </c>
      <c r="H13" s="19" t="s">
        <v>298</v>
      </c>
      <c r="I13" s="19" t="s">
        <v>299</v>
      </c>
      <c r="J13" s="19" t="s">
        <v>22</v>
      </c>
    </row>
    <row r="14" customFormat="false" ht="19.5" hidden="false" customHeight="true" outlineLevel="0" collapsed="false">
      <c r="A14" s="15" t="s">
        <v>255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55.5" hidden="false" customHeight="true" outlineLevel="0" collapsed="false">
      <c r="A15" s="16" t="s">
        <v>5</v>
      </c>
      <c r="B15" s="17" t="s">
        <v>300</v>
      </c>
      <c r="C15" s="18" t="s">
        <v>301</v>
      </c>
      <c r="D15" s="19" t="s">
        <v>12</v>
      </c>
      <c r="E15" s="19" t="s">
        <v>258</v>
      </c>
      <c r="F15" s="21" t="s">
        <v>17</v>
      </c>
      <c r="G15" s="19" t="s">
        <v>302</v>
      </c>
      <c r="H15" s="19" t="s">
        <v>303</v>
      </c>
      <c r="I15" s="19" t="s">
        <v>304</v>
      </c>
      <c r="J15" s="19" t="s">
        <v>22</v>
      </c>
    </row>
    <row r="16" customFormat="false" ht="19.5" hidden="false" customHeight="true" outlineLevel="0" collapsed="false">
      <c r="A16" s="15" t="s">
        <v>305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55.5" hidden="false" customHeight="true" outlineLevel="0" collapsed="false">
      <c r="A17" s="16" t="s">
        <v>5</v>
      </c>
      <c r="B17" s="17" t="s">
        <v>306</v>
      </c>
      <c r="C17" s="18" t="s">
        <v>307</v>
      </c>
      <c r="D17" s="19" t="s">
        <v>13</v>
      </c>
      <c r="E17" s="19" t="s">
        <v>11</v>
      </c>
      <c r="F17" s="22" t="s">
        <v>18</v>
      </c>
      <c r="G17" s="19" t="s">
        <v>308</v>
      </c>
      <c r="H17" s="19" t="s">
        <v>309</v>
      </c>
      <c r="I17" s="19" t="s">
        <v>310</v>
      </c>
      <c r="J17" s="19" t="s">
        <v>23</v>
      </c>
    </row>
  </sheetData>
  <mergeCells count="5">
    <mergeCell ref="A5:J5"/>
    <mergeCell ref="A10:J10"/>
    <mergeCell ref="A12:J12"/>
    <mergeCell ref="A14:J14"/>
    <mergeCell ref="A16:J16"/>
  </mergeCells>
  <dataValidations count="2">
    <dataValidation allowBlank="true" errorStyle="stop" operator="between" showDropDown="false" showErrorMessage="false" showInputMessage="false" sqref="J5:J17" type="list">
      <formula1>"Draft,Clarification Required,Ready for Development,In Development,Ready for QA,Done,Blocked"</formula1>
      <formula2>0</formula2>
    </dataValidation>
    <dataValidation allowBlank="true" errorStyle="stop" operator="between" showDropDown="false" showErrorMessage="false" showInputMessage="false" sqref="F5:F17" type="list">
      <formula1>"Must Have,Should Have,Could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6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39</v>
      </c>
    </row>
    <row r="4" customFormat="false" ht="24" hidden="false" customHeight="true" outlineLevel="0" collapsed="false">
      <c r="A4" s="14" t="s">
        <v>40</v>
      </c>
      <c r="B4" s="14" t="s">
        <v>41</v>
      </c>
      <c r="C4" s="14" t="s">
        <v>42</v>
      </c>
      <c r="D4" s="14" t="s">
        <v>3</v>
      </c>
      <c r="E4" s="14" t="s">
        <v>43</v>
      </c>
      <c r="F4" s="14" t="s">
        <v>15</v>
      </c>
      <c r="G4" s="14" t="s">
        <v>44</v>
      </c>
      <c r="H4" s="14" t="s">
        <v>45</v>
      </c>
      <c r="I4" s="14" t="s">
        <v>46</v>
      </c>
      <c r="J4" s="14" t="s">
        <v>20</v>
      </c>
    </row>
    <row r="5" customFormat="false" ht="19.5" hidden="false" customHeight="true" outlineLevel="0" collapsed="false">
      <c r="A5" s="15" t="s">
        <v>47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55.5" hidden="false" customHeight="true" outlineLevel="0" collapsed="false">
      <c r="A6" s="16" t="s">
        <v>6</v>
      </c>
      <c r="B6" s="17" t="s">
        <v>312</v>
      </c>
      <c r="C6" s="18" t="s">
        <v>313</v>
      </c>
      <c r="D6" s="19" t="s">
        <v>8</v>
      </c>
      <c r="E6" s="19" t="s">
        <v>270</v>
      </c>
      <c r="F6" s="22" t="s">
        <v>18</v>
      </c>
      <c r="G6" s="19" t="s">
        <v>314</v>
      </c>
      <c r="H6" s="19" t="s">
        <v>315</v>
      </c>
      <c r="I6" s="19" t="s">
        <v>316</v>
      </c>
      <c r="J6" s="19" t="s">
        <v>22</v>
      </c>
    </row>
    <row r="7" customFormat="false" ht="55.5" hidden="false" customHeight="true" outlineLevel="0" collapsed="false">
      <c r="A7" s="16" t="s">
        <v>6</v>
      </c>
      <c r="B7" s="17" t="s">
        <v>317</v>
      </c>
      <c r="C7" s="18" t="s">
        <v>318</v>
      </c>
      <c r="D7" s="19" t="s">
        <v>8</v>
      </c>
      <c r="E7" s="19" t="s">
        <v>136</v>
      </c>
      <c r="F7" s="22" t="s">
        <v>18</v>
      </c>
      <c r="G7" s="19" t="s">
        <v>319</v>
      </c>
      <c r="H7" s="19" t="s">
        <v>320</v>
      </c>
      <c r="I7" s="19" t="s">
        <v>321</v>
      </c>
      <c r="J7" s="19" t="s">
        <v>22</v>
      </c>
    </row>
    <row r="8" customFormat="false" ht="43.5" hidden="false" customHeight="true" outlineLevel="0" collapsed="false">
      <c r="A8" s="16" t="s">
        <v>6</v>
      </c>
      <c r="B8" s="17" t="s">
        <v>322</v>
      </c>
      <c r="C8" s="18" t="s">
        <v>323</v>
      </c>
      <c r="D8" s="19" t="s">
        <v>8</v>
      </c>
      <c r="E8" s="19" t="s">
        <v>120</v>
      </c>
      <c r="F8" s="22" t="s">
        <v>18</v>
      </c>
      <c r="G8" s="19" t="s">
        <v>324</v>
      </c>
      <c r="H8" s="19" t="s">
        <v>325</v>
      </c>
      <c r="I8" s="19" t="s">
        <v>326</v>
      </c>
      <c r="J8" s="19" t="s">
        <v>22</v>
      </c>
    </row>
    <row r="9" customFormat="false" ht="19.5" hidden="false" customHeight="true" outlineLevel="0" collapsed="false">
      <c r="A9" s="15" t="s">
        <v>199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67.5" hidden="false" customHeight="true" outlineLevel="0" collapsed="false">
      <c r="A10" s="16" t="s">
        <v>6</v>
      </c>
      <c r="B10" s="17" t="s">
        <v>327</v>
      </c>
      <c r="C10" s="18" t="s">
        <v>328</v>
      </c>
      <c r="D10" s="19" t="s">
        <v>11</v>
      </c>
      <c r="E10" s="19" t="s">
        <v>11</v>
      </c>
      <c r="F10" s="22" t="s">
        <v>18</v>
      </c>
      <c r="G10" s="19" t="s">
        <v>329</v>
      </c>
      <c r="H10" s="19" t="s">
        <v>330</v>
      </c>
      <c r="I10" s="19" t="s">
        <v>331</v>
      </c>
      <c r="J10" s="19" t="s">
        <v>23</v>
      </c>
    </row>
  </sheetData>
  <mergeCells count="2">
    <mergeCell ref="A5:J5"/>
    <mergeCell ref="A9:J9"/>
  </mergeCells>
  <dataValidations count="2">
    <dataValidation allowBlank="true" errorStyle="stop" operator="between" showDropDown="false" showErrorMessage="false" showInputMessage="false" sqref="J5:J10" type="list">
      <formula1>"Draft,Clarification Required,Ready for Development,In Development,Ready for QA,Done,Blocked"</formula1>
      <formula2>0</formula2>
    </dataValidation>
    <dataValidation allowBlank="true" errorStyle="stop" operator="between" showDropDown="false" showErrorMessage="false" showInputMessage="false" sqref="F5:F10" type="list">
      <formula1>"Must Have,Should Have,Could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6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24" hidden="false" customHeight="true" outlineLevel="0" collapsed="false">
      <c r="A4" s="14" t="s">
        <v>40</v>
      </c>
      <c r="B4" s="14" t="s">
        <v>41</v>
      </c>
      <c r="C4" s="14" t="s">
        <v>42</v>
      </c>
      <c r="D4" s="14" t="s">
        <v>3</v>
      </c>
      <c r="E4" s="14" t="s">
        <v>43</v>
      </c>
      <c r="F4" s="14" t="s">
        <v>15</v>
      </c>
      <c r="G4" s="14" t="s">
        <v>44</v>
      </c>
      <c r="H4" s="14" t="s">
        <v>45</v>
      </c>
      <c r="I4" s="14" t="s">
        <v>46</v>
      </c>
      <c r="J4" s="14" t="s">
        <v>20</v>
      </c>
    </row>
    <row r="5" customFormat="false" ht="103.5" hidden="false" customHeight="true" outlineLevel="0" collapsed="false">
      <c r="A5" s="16" t="s">
        <v>4</v>
      </c>
      <c r="B5" s="17" t="s">
        <v>48</v>
      </c>
      <c r="C5" s="18" t="s">
        <v>49</v>
      </c>
      <c r="D5" s="19" t="s">
        <v>8</v>
      </c>
      <c r="E5" s="19" t="s">
        <v>50</v>
      </c>
      <c r="F5" s="20" t="s">
        <v>16</v>
      </c>
      <c r="G5" s="19" t="s">
        <v>51</v>
      </c>
      <c r="H5" s="19" t="s">
        <v>52</v>
      </c>
      <c r="I5" s="19" t="s">
        <v>53</v>
      </c>
      <c r="J5" s="19" t="s">
        <v>23</v>
      </c>
    </row>
    <row r="6" customFormat="false" ht="115.5" hidden="false" customHeight="true" outlineLevel="0" collapsed="false">
      <c r="A6" s="16" t="s">
        <v>4</v>
      </c>
      <c r="B6" s="17" t="s">
        <v>54</v>
      </c>
      <c r="C6" s="18" t="s">
        <v>55</v>
      </c>
      <c r="D6" s="19" t="s">
        <v>8</v>
      </c>
      <c r="E6" s="19" t="s">
        <v>56</v>
      </c>
      <c r="F6" s="20" t="s">
        <v>16</v>
      </c>
      <c r="G6" s="19" t="s">
        <v>57</v>
      </c>
      <c r="H6" s="19" t="s">
        <v>58</v>
      </c>
      <c r="I6" s="19" t="s">
        <v>59</v>
      </c>
      <c r="J6" s="19" t="s">
        <v>22</v>
      </c>
    </row>
    <row r="7" customFormat="false" ht="79.5" hidden="false" customHeight="true" outlineLevel="0" collapsed="false">
      <c r="A7" s="16" t="s">
        <v>4</v>
      </c>
      <c r="B7" s="17" t="s">
        <v>60</v>
      </c>
      <c r="C7" s="18" t="s">
        <v>61</v>
      </c>
      <c r="D7" s="19" t="s">
        <v>8</v>
      </c>
      <c r="E7" s="19" t="s">
        <v>56</v>
      </c>
      <c r="F7" s="20" t="s">
        <v>16</v>
      </c>
      <c r="G7" s="19" t="s">
        <v>62</v>
      </c>
      <c r="H7" s="19" t="s">
        <v>63</v>
      </c>
      <c r="I7" s="19" t="s">
        <v>64</v>
      </c>
      <c r="J7" s="19" t="s">
        <v>22</v>
      </c>
    </row>
    <row r="8" customFormat="false" ht="67.5" hidden="false" customHeight="true" outlineLevel="0" collapsed="false">
      <c r="A8" s="16" t="s">
        <v>4</v>
      </c>
      <c r="B8" s="17" t="s">
        <v>65</v>
      </c>
      <c r="C8" s="18" t="s">
        <v>66</v>
      </c>
      <c r="D8" s="19" t="s">
        <v>8</v>
      </c>
      <c r="E8" s="19" t="s">
        <v>56</v>
      </c>
      <c r="F8" s="20" t="s">
        <v>16</v>
      </c>
      <c r="G8" s="19" t="s">
        <v>67</v>
      </c>
      <c r="H8" s="19" t="s">
        <v>68</v>
      </c>
      <c r="I8" s="19" t="s">
        <v>69</v>
      </c>
      <c r="J8" s="19" t="s">
        <v>22</v>
      </c>
    </row>
    <row r="9" customFormat="false" ht="67.5" hidden="false" customHeight="true" outlineLevel="0" collapsed="false">
      <c r="A9" s="16" t="s">
        <v>4</v>
      </c>
      <c r="B9" s="17" t="s">
        <v>70</v>
      </c>
      <c r="C9" s="18" t="s">
        <v>71</v>
      </c>
      <c r="D9" s="19" t="s">
        <v>8</v>
      </c>
      <c r="E9" s="19" t="s">
        <v>56</v>
      </c>
      <c r="F9" s="20" t="s">
        <v>16</v>
      </c>
      <c r="G9" s="19" t="s">
        <v>72</v>
      </c>
      <c r="H9" s="19" t="s">
        <v>73</v>
      </c>
      <c r="I9" s="19" t="s">
        <v>74</v>
      </c>
      <c r="J9" s="19" t="s">
        <v>22</v>
      </c>
    </row>
    <row r="10" customFormat="false" ht="79.5" hidden="false" customHeight="true" outlineLevel="0" collapsed="false">
      <c r="A10" s="16" t="s">
        <v>4</v>
      </c>
      <c r="B10" s="17" t="s">
        <v>75</v>
      </c>
      <c r="C10" s="18" t="s">
        <v>76</v>
      </c>
      <c r="D10" s="19" t="s">
        <v>8</v>
      </c>
      <c r="E10" s="19" t="s">
        <v>56</v>
      </c>
      <c r="F10" s="20" t="s">
        <v>16</v>
      </c>
      <c r="G10" s="19" t="s">
        <v>77</v>
      </c>
      <c r="H10" s="19" t="s">
        <v>78</v>
      </c>
      <c r="I10" s="19" t="s">
        <v>79</v>
      </c>
      <c r="J10" s="19" t="s">
        <v>22</v>
      </c>
    </row>
    <row r="11" customFormat="false" ht="115.5" hidden="false" customHeight="true" outlineLevel="0" collapsed="false">
      <c r="A11" s="16" t="s">
        <v>4</v>
      </c>
      <c r="B11" s="17" t="s">
        <v>80</v>
      </c>
      <c r="C11" s="18" t="s">
        <v>81</v>
      </c>
      <c r="D11" s="19" t="s">
        <v>8</v>
      </c>
      <c r="E11" s="19" t="s">
        <v>82</v>
      </c>
      <c r="F11" s="20" t="s">
        <v>16</v>
      </c>
      <c r="G11" s="19" t="s">
        <v>83</v>
      </c>
      <c r="H11" s="19" t="s">
        <v>84</v>
      </c>
      <c r="I11" s="19" t="s">
        <v>85</v>
      </c>
      <c r="J11" s="19" t="s">
        <v>23</v>
      </c>
    </row>
    <row r="12" customFormat="false" ht="67.5" hidden="false" customHeight="true" outlineLevel="0" collapsed="false">
      <c r="A12" s="16" t="s">
        <v>4</v>
      </c>
      <c r="B12" s="17" t="s">
        <v>86</v>
      </c>
      <c r="C12" s="18" t="s">
        <v>87</v>
      </c>
      <c r="D12" s="19" t="s">
        <v>8</v>
      </c>
      <c r="E12" s="19" t="s">
        <v>82</v>
      </c>
      <c r="F12" s="20" t="s">
        <v>16</v>
      </c>
      <c r="G12" s="19" t="s">
        <v>88</v>
      </c>
      <c r="H12" s="19" t="s">
        <v>89</v>
      </c>
      <c r="I12" s="19" t="s">
        <v>90</v>
      </c>
      <c r="J12" s="19" t="s">
        <v>22</v>
      </c>
    </row>
    <row r="13" customFormat="false" ht="79.5" hidden="false" customHeight="true" outlineLevel="0" collapsed="false">
      <c r="A13" s="16" t="s">
        <v>4</v>
      </c>
      <c r="B13" s="17" t="s">
        <v>91</v>
      </c>
      <c r="C13" s="18" t="s">
        <v>92</v>
      </c>
      <c r="D13" s="19" t="s">
        <v>8</v>
      </c>
      <c r="E13" s="19" t="s">
        <v>82</v>
      </c>
      <c r="F13" s="20" t="s">
        <v>16</v>
      </c>
      <c r="G13" s="19" t="s">
        <v>93</v>
      </c>
      <c r="H13" s="19" t="s">
        <v>94</v>
      </c>
      <c r="I13" s="19" t="s">
        <v>95</v>
      </c>
      <c r="J13" s="19" t="s">
        <v>23</v>
      </c>
    </row>
    <row r="14" customFormat="false" ht="79.5" hidden="false" customHeight="true" outlineLevel="0" collapsed="false">
      <c r="A14" s="16" t="s">
        <v>4</v>
      </c>
      <c r="B14" s="17" t="s">
        <v>96</v>
      </c>
      <c r="C14" s="18" t="s">
        <v>97</v>
      </c>
      <c r="D14" s="19" t="s">
        <v>8</v>
      </c>
      <c r="E14" s="19" t="s">
        <v>82</v>
      </c>
      <c r="F14" s="20" t="s">
        <v>16</v>
      </c>
      <c r="G14" s="19" t="s">
        <v>98</v>
      </c>
      <c r="H14" s="19" t="s">
        <v>99</v>
      </c>
      <c r="I14" s="19" t="s">
        <v>100</v>
      </c>
      <c r="J14" s="19" t="s">
        <v>22</v>
      </c>
    </row>
    <row r="15" customFormat="false" ht="67.5" hidden="false" customHeight="true" outlineLevel="0" collapsed="false">
      <c r="A15" s="16" t="s">
        <v>4</v>
      </c>
      <c r="B15" s="17" t="s">
        <v>101</v>
      </c>
      <c r="C15" s="18" t="s">
        <v>102</v>
      </c>
      <c r="D15" s="19" t="s">
        <v>8</v>
      </c>
      <c r="E15" s="19" t="s">
        <v>103</v>
      </c>
      <c r="F15" s="20" t="s">
        <v>16</v>
      </c>
      <c r="G15" s="19" t="s">
        <v>104</v>
      </c>
      <c r="H15" s="19" t="s">
        <v>105</v>
      </c>
      <c r="I15" s="19" t="s">
        <v>106</v>
      </c>
      <c r="J15" s="19" t="s">
        <v>22</v>
      </c>
    </row>
    <row r="16" customFormat="false" ht="79.5" hidden="false" customHeight="true" outlineLevel="0" collapsed="false">
      <c r="A16" s="16" t="s">
        <v>4</v>
      </c>
      <c r="B16" s="17" t="s">
        <v>107</v>
      </c>
      <c r="C16" s="18" t="s">
        <v>108</v>
      </c>
      <c r="D16" s="19" t="s">
        <v>8</v>
      </c>
      <c r="E16" s="19" t="s">
        <v>109</v>
      </c>
      <c r="F16" s="20" t="s">
        <v>16</v>
      </c>
      <c r="G16" s="19" t="s">
        <v>110</v>
      </c>
      <c r="H16" s="19" t="s">
        <v>111</v>
      </c>
      <c r="I16" s="19" t="s">
        <v>112</v>
      </c>
      <c r="J16" s="19" t="s">
        <v>22</v>
      </c>
    </row>
    <row r="17" customFormat="false" ht="67.5" hidden="false" customHeight="true" outlineLevel="0" collapsed="false">
      <c r="A17" s="16" t="s">
        <v>4</v>
      </c>
      <c r="B17" s="17" t="s">
        <v>113</v>
      </c>
      <c r="C17" s="18" t="s">
        <v>114</v>
      </c>
      <c r="D17" s="19" t="s">
        <v>8</v>
      </c>
      <c r="E17" s="19" t="s">
        <v>109</v>
      </c>
      <c r="F17" s="20" t="s">
        <v>16</v>
      </c>
      <c r="G17" s="19" t="s">
        <v>115</v>
      </c>
      <c r="H17" s="19" t="s">
        <v>116</v>
      </c>
      <c r="I17" s="19" t="s">
        <v>117</v>
      </c>
      <c r="J17" s="19" t="s">
        <v>22</v>
      </c>
    </row>
    <row r="18" customFormat="false" ht="79.5" hidden="false" customHeight="true" outlineLevel="0" collapsed="false">
      <c r="A18" s="16" t="s">
        <v>4</v>
      </c>
      <c r="B18" s="17" t="s">
        <v>118</v>
      </c>
      <c r="C18" s="18" t="s">
        <v>119</v>
      </c>
      <c r="D18" s="19" t="s">
        <v>8</v>
      </c>
      <c r="E18" s="19" t="s">
        <v>120</v>
      </c>
      <c r="F18" s="20" t="s">
        <v>16</v>
      </c>
      <c r="G18" s="19" t="s">
        <v>121</v>
      </c>
      <c r="H18" s="19" t="s">
        <v>122</v>
      </c>
      <c r="I18" s="19" t="s">
        <v>123</v>
      </c>
      <c r="J18" s="19" t="s">
        <v>22</v>
      </c>
    </row>
    <row r="19" customFormat="false" ht="79.5" hidden="false" customHeight="true" outlineLevel="0" collapsed="false">
      <c r="A19" s="16" t="s">
        <v>4</v>
      </c>
      <c r="B19" s="17" t="s">
        <v>124</v>
      </c>
      <c r="C19" s="18" t="s">
        <v>125</v>
      </c>
      <c r="D19" s="19" t="s">
        <v>8</v>
      </c>
      <c r="E19" s="19" t="s">
        <v>120</v>
      </c>
      <c r="F19" s="20" t="s">
        <v>16</v>
      </c>
      <c r="G19" s="19" t="s">
        <v>126</v>
      </c>
      <c r="H19" s="19" t="s">
        <v>127</v>
      </c>
      <c r="I19" s="19" t="s">
        <v>128</v>
      </c>
      <c r="J19" s="19" t="s">
        <v>22</v>
      </c>
    </row>
    <row r="20" customFormat="false" ht="91.5" hidden="false" customHeight="true" outlineLevel="0" collapsed="false">
      <c r="A20" s="16" t="s">
        <v>4</v>
      </c>
      <c r="B20" s="17" t="s">
        <v>129</v>
      </c>
      <c r="C20" s="18" t="s">
        <v>130</v>
      </c>
      <c r="D20" s="19" t="s">
        <v>8</v>
      </c>
      <c r="E20" s="19" t="s">
        <v>120</v>
      </c>
      <c r="F20" s="20" t="s">
        <v>16</v>
      </c>
      <c r="G20" s="19" t="s">
        <v>131</v>
      </c>
      <c r="H20" s="19" t="s">
        <v>132</v>
      </c>
      <c r="I20" s="19" t="s">
        <v>133</v>
      </c>
      <c r="J20" s="19" t="s">
        <v>22</v>
      </c>
    </row>
    <row r="21" customFormat="false" ht="79.5" hidden="false" customHeight="true" outlineLevel="0" collapsed="false">
      <c r="A21" s="16" t="s">
        <v>4</v>
      </c>
      <c r="B21" s="17" t="s">
        <v>134</v>
      </c>
      <c r="C21" s="18" t="s">
        <v>135</v>
      </c>
      <c r="D21" s="19" t="s">
        <v>8</v>
      </c>
      <c r="E21" s="19" t="s">
        <v>136</v>
      </c>
      <c r="F21" s="20" t="s">
        <v>16</v>
      </c>
      <c r="G21" s="19" t="s">
        <v>137</v>
      </c>
      <c r="H21" s="19" t="s">
        <v>138</v>
      </c>
      <c r="I21" s="19" t="s">
        <v>139</v>
      </c>
      <c r="J21" s="19" t="s">
        <v>23</v>
      </c>
    </row>
    <row r="22" customFormat="false" ht="67.5" hidden="false" customHeight="true" outlineLevel="0" collapsed="false">
      <c r="A22" s="16" t="s">
        <v>4</v>
      </c>
      <c r="B22" s="17" t="s">
        <v>140</v>
      </c>
      <c r="C22" s="18" t="s">
        <v>141</v>
      </c>
      <c r="D22" s="19" t="s">
        <v>8</v>
      </c>
      <c r="E22" s="19" t="s">
        <v>56</v>
      </c>
      <c r="F22" s="21" t="s">
        <v>17</v>
      </c>
      <c r="G22" s="19" t="s">
        <v>142</v>
      </c>
      <c r="H22" s="19" t="s">
        <v>143</v>
      </c>
      <c r="I22" s="19" t="s">
        <v>144</v>
      </c>
      <c r="J22" s="19" t="s">
        <v>22</v>
      </c>
    </row>
    <row r="23" customFormat="false" ht="79.5" hidden="false" customHeight="true" outlineLevel="0" collapsed="false">
      <c r="A23" s="16" t="s">
        <v>4</v>
      </c>
      <c r="B23" s="17" t="s">
        <v>145</v>
      </c>
      <c r="C23" s="18" t="s">
        <v>146</v>
      </c>
      <c r="D23" s="19" t="s">
        <v>8</v>
      </c>
      <c r="E23" s="19" t="s">
        <v>82</v>
      </c>
      <c r="F23" s="21" t="s">
        <v>17</v>
      </c>
      <c r="G23" s="19" t="s">
        <v>147</v>
      </c>
      <c r="H23" s="19" t="s">
        <v>148</v>
      </c>
      <c r="I23" s="19" t="s">
        <v>149</v>
      </c>
      <c r="J23" s="19" t="s">
        <v>22</v>
      </c>
    </row>
    <row r="24" customFormat="false" ht="43.5" hidden="false" customHeight="true" outlineLevel="0" collapsed="false">
      <c r="A24" s="16" t="s">
        <v>4</v>
      </c>
      <c r="B24" s="17" t="s">
        <v>150</v>
      </c>
      <c r="C24" s="18" t="s">
        <v>151</v>
      </c>
      <c r="D24" s="19" t="s">
        <v>8</v>
      </c>
      <c r="E24" s="19" t="s">
        <v>82</v>
      </c>
      <c r="F24" s="21" t="s">
        <v>17</v>
      </c>
      <c r="G24" s="19" t="s">
        <v>152</v>
      </c>
      <c r="H24" s="19" t="s">
        <v>153</v>
      </c>
      <c r="I24" s="19" t="s">
        <v>154</v>
      </c>
      <c r="J24" s="19" t="s">
        <v>22</v>
      </c>
    </row>
    <row r="25" customFormat="false" ht="67.5" hidden="false" customHeight="true" outlineLevel="0" collapsed="false">
      <c r="A25" s="16" t="s">
        <v>4</v>
      </c>
      <c r="B25" s="17" t="s">
        <v>155</v>
      </c>
      <c r="C25" s="18" t="s">
        <v>156</v>
      </c>
      <c r="D25" s="19" t="s">
        <v>8</v>
      </c>
      <c r="E25" s="19" t="s">
        <v>103</v>
      </c>
      <c r="F25" s="21" t="s">
        <v>17</v>
      </c>
      <c r="G25" s="19" t="s">
        <v>157</v>
      </c>
      <c r="H25" s="19" t="s">
        <v>158</v>
      </c>
      <c r="I25" s="19" t="s">
        <v>159</v>
      </c>
      <c r="J25" s="19" t="s">
        <v>22</v>
      </c>
    </row>
    <row r="26" customFormat="false" ht="55.5" hidden="false" customHeight="true" outlineLevel="0" collapsed="false">
      <c r="A26" s="16" t="s">
        <v>4</v>
      </c>
      <c r="B26" s="17" t="s">
        <v>160</v>
      </c>
      <c r="C26" s="18" t="s">
        <v>161</v>
      </c>
      <c r="D26" s="19" t="s">
        <v>8</v>
      </c>
      <c r="E26" s="19" t="s">
        <v>109</v>
      </c>
      <c r="F26" s="21" t="s">
        <v>17</v>
      </c>
      <c r="G26" s="19" t="s">
        <v>162</v>
      </c>
      <c r="H26" s="19" t="s">
        <v>163</v>
      </c>
      <c r="I26" s="19" t="s">
        <v>164</v>
      </c>
      <c r="J26" s="19" t="s">
        <v>22</v>
      </c>
    </row>
    <row r="27" customFormat="false" ht="55.5" hidden="false" customHeight="true" outlineLevel="0" collapsed="false">
      <c r="A27" s="16" t="s">
        <v>4</v>
      </c>
      <c r="B27" s="17" t="s">
        <v>165</v>
      </c>
      <c r="C27" s="18" t="s">
        <v>166</v>
      </c>
      <c r="D27" s="19" t="s">
        <v>8</v>
      </c>
      <c r="E27" s="19" t="s">
        <v>120</v>
      </c>
      <c r="F27" s="21" t="s">
        <v>17</v>
      </c>
      <c r="G27" s="19" t="s">
        <v>167</v>
      </c>
      <c r="H27" s="19" t="s">
        <v>168</v>
      </c>
      <c r="I27" s="19" t="s">
        <v>169</v>
      </c>
      <c r="J27" s="19" t="s">
        <v>22</v>
      </c>
    </row>
    <row r="28" customFormat="false" ht="55.5" hidden="false" customHeight="true" outlineLevel="0" collapsed="false">
      <c r="A28" s="16" t="s">
        <v>4</v>
      </c>
      <c r="B28" s="17" t="s">
        <v>170</v>
      </c>
      <c r="C28" s="18" t="s">
        <v>171</v>
      </c>
      <c r="D28" s="19" t="s">
        <v>8</v>
      </c>
      <c r="E28" s="19" t="s">
        <v>136</v>
      </c>
      <c r="F28" s="21" t="s">
        <v>17</v>
      </c>
      <c r="G28" s="19" t="s">
        <v>172</v>
      </c>
      <c r="H28" s="19" t="s">
        <v>173</v>
      </c>
      <c r="I28" s="19" t="s">
        <v>174</v>
      </c>
      <c r="J28" s="19" t="s">
        <v>23</v>
      </c>
    </row>
    <row r="29" customFormat="false" ht="67.5" hidden="false" customHeight="true" outlineLevel="0" collapsed="false">
      <c r="A29" s="16" t="s">
        <v>4</v>
      </c>
      <c r="B29" s="17" t="s">
        <v>175</v>
      </c>
      <c r="C29" s="18" t="s">
        <v>176</v>
      </c>
      <c r="D29" s="19" t="s">
        <v>8</v>
      </c>
      <c r="E29" s="19" t="s">
        <v>177</v>
      </c>
      <c r="F29" s="21" t="s">
        <v>17</v>
      </c>
      <c r="G29" s="19" t="s">
        <v>178</v>
      </c>
      <c r="H29" s="19" t="s">
        <v>179</v>
      </c>
      <c r="I29" s="19" t="s">
        <v>180</v>
      </c>
      <c r="J29" s="19" t="s">
        <v>22</v>
      </c>
    </row>
    <row r="30" customFormat="false" ht="55.5" hidden="false" customHeight="true" outlineLevel="0" collapsed="false">
      <c r="A30" s="16" t="s">
        <v>4</v>
      </c>
      <c r="B30" s="17" t="s">
        <v>181</v>
      </c>
      <c r="C30" s="18" t="s">
        <v>182</v>
      </c>
      <c r="D30" s="19" t="s">
        <v>8</v>
      </c>
      <c r="E30" s="19" t="s">
        <v>177</v>
      </c>
      <c r="F30" s="21" t="s">
        <v>17</v>
      </c>
      <c r="G30" s="19" t="s">
        <v>183</v>
      </c>
      <c r="H30" s="19" t="s">
        <v>184</v>
      </c>
      <c r="I30" s="19" t="s">
        <v>185</v>
      </c>
      <c r="J30" s="19" t="s">
        <v>22</v>
      </c>
    </row>
    <row r="31" customFormat="false" ht="67.5" hidden="false" customHeight="true" outlineLevel="0" collapsed="false">
      <c r="A31" s="16" t="s">
        <v>4</v>
      </c>
      <c r="B31" s="17" t="s">
        <v>187</v>
      </c>
      <c r="C31" s="18" t="s">
        <v>188</v>
      </c>
      <c r="D31" s="19" t="s">
        <v>9</v>
      </c>
      <c r="E31" s="19" t="s">
        <v>103</v>
      </c>
      <c r="F31" s="20" t="s">
        <v>16</v>
      </c>
      <c r="G31" s="19" t="s">
        <v>189</v>
      </c>
      <c r="H31" s="19" t="s">
        <v>190</v>
      </c>
      <c r="I31" s="19" t="s">
        <v>191</v>
      </c>
      <c r="J31" s="19" t="s">
        <v>22</v>
      </c>
    </row>
    <row r="32" customFormat="false" ht="91.5" hidden="false" customHeight="true" outlineLevel="0" collapsed="false">
      <c r="A32" s="16" t="s">
        <v>4</v>
      </c>
      <c r="B32" s="17" t="s">
        <v>193</v>
      </c>
      <c r="C32" s="18" t="s">
        <v>194</v>
      </c>
      <c r="D32" s="19" t="s">
        <v>10</v>
      </c>
      <c r="E32" s="19" t="s">
        <v>195</v>
      </c>
      <c r="F32" s="21" t="s">
        <v>17</v>
      </c>
      <c r="G32" s="19" t="s">
        <v>196</v>
      </c>
      <c r="H32" s="19" t="s">
        <v>197</v>
      </c>
      <c r="I32" s="19" t="s">
        <v>198</v>
      </c>
      <c r="J32" s="19" t="s">
        <v>23</v>
      </c>
    </row>
    <row r="33" customFormat="false" ht="67.5" hidden="false" customHeight="true" outlineLevel="0" collapsed="false">
      <c r="A33" s="16" t="s">
        <v>4</v>
      </c>
      <c r="B33" s="17" t="s">
        <v>200</v>
      </c>
      <c r="C33" s="18" t="s">
        <v>201</v>
      </c>
      <c r="D33" s="19" t="s">
        <v>11</v>
      </c>
      <c r="E33" s="19" t="s">
        <v>103</v>
      </c>
      <c r="F33" s="20" t="s">
        <v>16</v>
      </c>
      <c r="G33" s="19" t="s">
        <v>202</v>
      </c>
      <c r="H33" s="19" t="s">
        <v>203</v>
      </c>
      <c r="I33" s="19" t="s">
        <v>204</v>
      </c>
      <c r="J33" s="19" t="s">
        <v>22</v>
      </c>
    </row>
    <row r="34" customFormat="false" ht="67.5" hidden="false" customHeight="true" outlineLevel="0" collapsed="false">
      <c r="A34" s="16" t="s">
        <v>4</v>
      </c>
      <c r="B34" s="17" t="s">
        <v>205</v>
      </c>
      <c r="C34" s="18" t="s">
        <v>206</v>
      </c>
      <c r="D34" s="19" t="s">
        <v>11</v>
      </c>
      <c r="E34" s="19" t="s">
        <v>11</v>
      </c>
      <c r="F34" s="20" t="s">
        <v>16</v>
      </c>
      <c r="G34" s="19" t="s">
        <v>207</v>
      </c>
      <c r="H34" s="19" t="s">
        <v>208</v>
      </c>
      <c r="I34" s="19" t="s">
        <v>209</v>
      </c>
      <c r="J34" s="19" t="s">
        <v>22</v>
      </c>
    </row>
    <row r="35" customFormat="false" ht="79.5" hidden="false" customHeight="true" outlineLevel="0" collapsed="false">
      <c r="A35" s="16" t="s">
        <v>4</v>
      </c>
      <c r="B35" s="17" t="s">
        <v>210</v>
      </c>
      <c r="C35" s="18" t="s">
        <v>211</v>
      </c>
      <c r="D35" s="19" t="s">
        <v>11</v>
      </c>
      <c r="E35" s="19" t="s">
        <v>11</v>
      </c>
      <c r="F35" s="20" t="s">
        <v>16</v>
      </c>
      <c r="G35" s="19" t="s">
        <v>212</v>
      </c>
      <c r="H35" s="19" t="s">
        <v>213</v>
      </c>
      <c r="I35" s="19" t="s">
        <v>214</v>
      </c>
      <c r="J35" s="19" t="s">
        <v>23</v>
      </c>
    </row>
    <row r="36" customFormat="false" ht="55.5" hidden="false" customHeight="true" outlineLevel="0" collapsed="false">
      <c r="A36" s="16" t="s">
        <v>4</v>
      </c>
      <c r="B36" s="17" t="s">
        <v>215</v>
      </c>
      <c r="C36" s="18" t="s">
        <v>216</v>
      </c>
      <c r="D36" s="19" t="s">
        <v>11</v>
      </c>
      <c r="E36" s="19" t="s">
        <v>11</v>
      </c>
      <c r="F36" s="20" t="s">
        <v>16</v>
      </c>
      <c r="G36" s="19" t="s">
        <v>217</v>
      </c>
      <c r="H36" s="19" t="s">
        <v>218</v>
      </c>
      <c r="I36" s="19" t="s">
        <v>219</v>
      </c>
      <c r="J36" s="19" t="s">
        <v>22</v>
      </c>
    </row>
    <row r="37" customFormat="false" ht="79.5" hidden="false" customHeight="true" outlineLevel="0" collapsed="false">
      <c r="A37" s="16" t="s">
        <v>4</v>
      </c>
      <c r="B37" s="17" t="s">
        <v>220</v>
      </c>
      <c r="C37" s="18" t="s">
        <v>221</v>
      </c>
      <c r="D37" s="19" t="s">
        <v>11</v>
      </c>
      <c r="E37" s="19" t="s">
        <v>11</v>
      </c>
      <c r="F37" s="20" t="s">
        <v>16</v>
      </c>
      <c r="G37" s="19" t="s">
        <v>222</v>
      </c>
      <c r="H37" s="19" t="s">
        <v>223</v>
      </c>
      <c r="I37" s="19" t="s">
        <v>224</v>
      </c>
      <c r="J37" s="19" t="s">
        <v>22</v>
      </c>
    </row>
    <row r="38" customFormat="false" ht="55.5" hidden="false" customHeight="true" outlineLevel="0" collapsed="false">
      <c r="A38" s="16" t="s">
        <v>4</v>
      </c>
      <c r="B38" s="17" t="s">
        <v>225</v>
      </c>
      <c r="C38" s="18" t="s">
        <v>226</v>
      </c>
      <c r="D38" s="19" t="s">
        <v>11</v>
      </c>
      <c r="E38" s="19" t="s">
        <v>11</v>
      </c>
      <c r="F38" s="20" t="s">
        <v>16</v>
      </c>
      <c r="G38" s="19" t="s">
        <v>227</v>
      </c>
      <c r="H38" s="19" t="s">
        <v>228</v>
      </c>
      <c r="I38" s="19" t="s">
        <v>229</v>
      </c>
      <c r="J38" s="19" t="s">
        <v>22</v>
      </c>
    </row>
    <row r="39" customFormat="false" ht="55.5" hidden="false" customHeight="true" outlineLevel="0" collapsed="false">
      <c r="A39" s="16" t="s">
        <v>4</v>
      </c>
      <c r="B39" s="17" t="s">
        <v>230</v>
      </c>
      <c r="C39" s="18" t="s">
        <v>231</v>
      </c>
      <c r="D39" s="19" t="s">
        <v>11</v>
      </c>
      <c r="E39" s="19" t="s">
        <v>11</v>
      </c>
      <c r="F39" s="20" t="s">
        <v>16</v>
      </c>
      <c r="G39" s="19" t="s">
        <v>232</v>
      </c>
      <c r="H39" s="19" t="s">
        <v>233</v>
      </c>
      <c r="I39" s="19" t="s">
        <v>234</v>
      </c>
      <c r="J39" s="19" t="s">
        <v>22</v>
      </c>
    </row>
    <row r="40" customFormat="false" ht="67.5" hidden="false" customHeight="true" outlineLevel="0" collapsed="false">
      <c r="A40" s="16" t="s">
        <v>4</v>
      </c>
      <c r="B40" s="17" t="s">
        <v>235</v>
      </c>
      <c r="C40" s="18" t="s">
        <v>236</v>
      </c>
      <c r="D40" s="19" t="s">
        <v>11</v>
      </c>
      <c r="E40" s="19" t="s">
        <v>195</v>
      </c>
      <c r="F40" s="21" t="s">
        <v>17</v>
      </c>
      <c r="G40" s="19" t="s">
        <v>237</v>
      </c>
      <c r="H40" s="19" t="s">
        <v>238</v>
      </c>
      <c r="I40" s="19" t="s">
        <v>239</v>
      </c>
      <c r="J40" s="19" t="s">
        <v>23</v>
      </c>
    </row>
    <row r="41" customFormat="false" ht="55.5" hidden="false" customHeight="true" outlineLevel="0" collapsed="false">
      <c r="A41" s="16" t="s">
        <v>4</v>
      </c>
      <c r="B41" s="17" t="s">
        <v>240</v>
      </c>
      <c r="C41" s="18" t="s">
        <v>241</v>
      </c>
      <c r="D41" s="19" t="s">
        <v>11</v>
      </c>
      <c r="E41" s="19" t="s">
        <v>195</v>
      </c>
      <c r="F41" s="21" t="s">
        <v>17</v>
      </c>
      <c r="G41" s="19" t="s">
        <v>242</v>
      </c>
      <c r="H41" s="19" t="s">
        <v>243</v>
      </c>
      <c r="I41" s="19" t="s">
        <v>244</v>
      </c>
      <c r="J41" s="19" t="s">
        <v>23</v>
      </c>
    </row>
    <row r="42" customFormat="false" ht="79.5" hidden="false" customHeight="true" outlineLevel="0" collapsed="false">
      <c r="A42" s="16" t="s">
        <v>4</v>
      </c>
      <c r="B42" s="17" t="s">
        <v>245</v>
      </c>
      <c r="C42" s="18" t="s">
        <v>246</v>
      </c>
      <c r="D42" s="19" t="s">
        <v>11</v>
      </c>
      <c r="E42" s="19" t="s">
        <v>195</v>
      </c>
      <c r="F42" s="21" t="s">
        <v>17</v>
      </c>
      <c r="G42" s="19" t="s">
        <v>247</v>
      </c>
      <c r="H42" s="19" t="s">
        <v>248</v>
      </c>
      <c r="I42" s="19" t="s">
        <v>249</v>
      </c>
      <c r="J42" s="19" t="s">
        <v>23</v>
      </c>
    </row>
    <row r="43" customFormat="false" ht="55.5" hidden="false" customHeight="true" outlineLevel="0" collapsed="false">
      <c r="A43" s="16" t="s">
        <v>4</v>
      </c>
      <c r="B43" s="17" t="s">
        <v>250</v>
      </c>
      <c r="C43" s="18" t="s">
        <v>251</v>
      </c>
      <c r="D43" s="19" t="s">
        <v>11</v>
      </c>
      <c r="E43" s="19" t="s">
        <v>11</v>
      </c>
      <c r="F43" s="21" t="s">
        <v>17</v>
      </c>
      <c r="G43" s="19" t="s">
        <v>252</v>
      </c>
      <c r="H43" s="19" t="s">
        <v>253</v>
      </c>
      <c r="I43" s="19" t="s">
        <v>254</v>
      </c>
      <c r="J43" s="19" t="s">
        <v>22</v>
      </c>
    </row>
    <row r="44" customFormat="false" ht="79.5" hidden="false" customHeight="true" outlineLevel="0" collapsed="false">
      <c r="A44" s="16" t="s">
        <v>4</v>
      </c>
      <c r="B44" s="17" t="s">
        <v>256</v>
      </c>
      <c r="C44" s="18" t="s">
        <v>257</v>
      </c>
      <c r="D44" s="19" t="s">
        <v>12</v>
      </c>
      <c r="E44" s="19" t="s">
        <v>258</v>
      </c>
      <c r="F44" s="20" t="s">
        <v>16</v>
      </c>
      <c r="G44" s="19" t="s">
        <v>259</v>
      </c>
      <c r="H44" s="19" t="s">
        <v>260</v>
      </c>
      <c r="I44" s="19" t="s">
        <v>261</v>
      </c>
      <c r="J44" s="19" t="s">
        <v>22</v>
      </c>
    </row>
    <row r="45" customFormat="false" ht="43.5" hidden="false" customHeight="true" outlineLevel="0" collapsed="false">
      <c r="A45" s="16" t="s">
        <v>4</v>
      </c>
      <c r="B45" s="17" t="s">
        <v>262</v>
      </c>
      <c r="C45" s="18" t="s">
        <v>263</v>
      </c>
      <c r="D45" s="19" t="s">
        <v>12</v>
      </c>
      <c r="E45" s="19" t="s">
        <v>258</v>
      </c>
      <c r="F45" s="21" t="s">
        <v>17</v>
      </c>
      <c r="G45" s="19" t="s">
        <v>264</v>
      </c>
      <c r="H45" s="19" t="s">
        <v>265</v>
      </c>
      <c r="I45" s="19" t="s">
        <v>266</v>
      </c>
      <c r="J45" s="19" t="s">
        <v>23</v>
      </c>
    </row>
    <row r="46" customFormat="false" ht="103.5" hidden="false" customHeight="true" outlineLevel="0" collapsed="false">
      <c r="A46" s="16" t="s">
        <v>5</v>
      </c>
      <c r="B46" s="17" t="s">
        <v>268</v>
      </c>
      <c r="C46" s="18" t="s">
        <v>269</v>
      </c>
      <c r="D46" s="19" t="s">
        <v>8</v>
      </c>
      <c r="E46" s="19" t="s">
        <v>270</v>
      </c>
      <c r="F46" s="21" t="s">
        <v>17</v>
      </c>
      <c r="G46" s="19" t="s">
        <v>271</v>
      </c>
      <c r="H46" s="19" t="s">
        <v>272</v>
      </c>
      <c r="I46" s="19" t="s">
        <v>273</v>
      </c>
      <c r="J46" s="19" t="s">
        <v>22</v>
      </c>
    </row>
    <row r="47" customFormat="false" ht="67.5" hidden="false" customHeight="true" outlineLevel="0" collapsed="false">
      <c r="A47" s="16" t="s">
        <v>5</v>
      </c>
      <c r="B47" s="17" t="s">
        <v>274</v>
      </c>
      <c r="C47" s="18" t="s">
        <v>275</v>
      </c>
      <c r="D47" s="19" t="s">
        <v>8</v>
      </c>
      <c r="E47" s="19" t="s">
        <v>136</v>
      </c>
      <c r="F47" s="21" t="s">
        <v>17</v>
      </c>
      <c r="G47" s="19" t="s">
        <v>276</v>
      </c>
      <c r="H47" s="19" t="s">
        <v>277</v>
      </c>
      <c r="I47" s="19" t="s">
        <v>278</v>
      </c>
      <c r="J47" s="19" t="s">
        <v>22</v>
      </c>
    </row>
    <row r="48" customFormat="false" ht="55.5" hidden="false" customHeight="true" outlineLevel="0" collapsed="false">
      <c r="A48" s="16" t="s">
        <v>5</v>
      </c>
      <c r="B48" s="17" t="s">
        <v>279</v>
      </c>
      <c r="C48" s="18" t="s">
        <v>280</v>
      </c>
      <c r="D48" s="19" t="s">
        <v>8</v>
      </c>
      <c r="E48" s="19" t="s">
        <v>281</v>
      </c>
      <c r="F48" s="22" t="s">
        <v>18</v>
      </c>
      <c r="G48" s="19" t="s">
        <v>282</v>
      </c>
      <c r="H48" s="19" t="s">
        <v>283</v>
      </c>
      <c r="I48" s="19" t="s">
        <v>284</v>
      </c>
      <c r="J48" s="19" t="s">
        <v>22</v>
      </c>
    </row>
    <row r="49" customFormat="false" ht="55.5" hidden="false" customHeight="true" outlineLevel="0" collapsed="false">
      <c r="A49" s="16" t="s">
        <v>5</v>
      </c>
      <c r="B49" s="17" t="s">
        <v>285</v>
      </c>
      <c r="C49" s="18" t="s">
        <v>286</v>
      </c>
      <c r="D49" s="19" t="s">
        <v>8</v>
      </c>
      <c r="E49" s="19" t="s">
        <v>270</v>
      </c>
      <c r="F49" s="22" t="s">
        <v>18</v>
      </c>
      <c r="G49" s="19" t="s">
        <v>287</v>
      </c>
      <c r="H49" s="19" t="s">
        <v>288</v>
      </c>
      <c r="I49" s="19" t="s">
        <v>289</v>
      </c>
      <c r="J49" s="19" t="s">
        <v>22</v>
      </c>
    </row>
    <row r="50" customFormat="false" ht="67.5" hidden="false" customHeight="true" outlineLevel="0" collapsed="false">
      <c r="A50" s="16" t="s">
        <v>5</v>
      </c>
      <c r="B50" s="17" t="s">
        <v>290</v>
      </c>
      <c r="C50" s="18" t="s">
        <v>291</v>
      </c>
      <c r="D50" s="19" t="s">
        <v>9</v>
      </c>
      <c r="E50" s="19" t="s">
        <v>103</v>
      </c>
      <c r="F50" s="22" t="s">
        <v>18</v>
      </c>
      <c r="G50" s="19" t="s">
        <v>292</v>
      </c>
      <c r="H50" s="19" t="s">
        <v>293</v>
      </c>
      <c r="I50" s="19" t="s">
        <v>294</v>
      </c>
      <c r="J50" s="19" t="s">
        <v>22</v>
      </c>
    </row>
    <row r="51" customFormat="false" ht="79.5" hidden="false" customHeight="true" outlineLevel="0" collapsed="false">
      <c r="A51" s="16" t="s">
        <v>5</v>
      </c>
      <c r="B51" s="17" t="s">
        <v>295</v>
      </c>
      <c r="C51" s="18" t="s">
        <v>296</v>
      </c>
      <c r="D51" s="19" t="s">
        <v>11</v>
      </c>
      <c r="E51" s="19" t="s">
        <v>11</v>
      </c>
      <c r="F51" s="21" t="s">
        <v>17</v>
      </c>
      <c r="G51" s="19" t="s">
        <v>297</v>
      </c>
      <c r="H51" s="19" t="s">
        <v>298</v>
      </c>
      <c r="I51" s="19" t="s">
        <v>299</v>
      </c>
      <c r="J51" s="19" t="s">
        <v>22</v>
      </c>
    </row>
    <row r="52" customFormat="false" ht="55.5" hidden="false" customHeight="true" outlineLevel="0" collapsed="false">
      <c r="A52" s="16" t="s">
        <v>5</v>
      </c>
      <c r="B52" s="17" t="s">
        <v>300</v>
      </c>
      <c r="C52" s="18" t="s">
        <v>301</v>
      </c>
      <c r="D52" s="19" t="s">
        <v>12</v>
      </c>
      <c r="E52" s="19" t="s">
        <v>258</v>
      </c>
      <c r="F52" s="21" t="s">
        <v>17</v>
      </c>
      <c r="G52" s="19" t="s">
        <v>302</v>
      </c>
      <c r="H52" s="19" t="s">
        <v>303</v>
      </c>
      <c r="I52" s="19" t="s">
        <v>304</v>
      </c>
      <c r="J52" s="19" t="s">
        <v>22</v>
      </c>
    </row>
    <row r="53" customFormat="false" ht="55.5" hidden="false" customHeight="true" outlineLevel="0" collapsed="false">
      <c r="A53" s="16" t="s">
        <v>5</v>
      </c>
      <c r="B53" s="17" t="s">
        <v>306</v>
      </c>
      <c r="C53" s="18" t="s">
        <v>307</v>
      </c>
      <c r="D53" s="19" t="s">
        <v>13</v>
      </c>
      <c r="E53" s="19" t="s">
        <v>11</v>
      </c>
      <c r="F53" s="22" t="s">
        <v>18</v>
      </c>
      <c r="G53" s="19" t="s">
        <v>308</v>
      </c>
      <c r="H53" s="19" t="s">
        <v>309</v>
      </c>
      <c r="I53" s="19" t="s">
        <v>310</v>
      </c>
      <c r="J53" s="19" t="s">
        <v>23</v>
      </c>
    </row>
    <row r="54" customFormat="false" ht="55.5" hidden="false" customHeight="true" outlineLevel="0" collapsed="false">
      <c r="A54" s="16" t="s">
        <v>6</v>
      </c>
      <c r="B54" s="17" t="s">
        <v>312</v>
      </c>
      <c r="C54" s="18" t="s">
        <v>313</v>
      </c>
      <c r="D54" s="19" t="s">
        <v>8</v>
      </c>
      <c r="E54" s="19" t="s">
        <v>270</v>
      </c>
      <c r="F54" s="22" t="s">
        <v>18</v>
      </c>
      <c r="G54" s="19" t="s">
        <v>314</v>
      </c>
      <c r="H54" s="19" t="s">
        <v>315</v>
      </c>
      <c r="I54" s="19" t="s">
        <v>316</v>
      </c>
      <c r="J54" s="19" t="s">
        <v>22</v>
      </c>
    </row>
    <row r="55" customFormat="false" ht="55.5" hidden="false" customHeight="true" outlineLevel="0" collapsed="false">
      <c r="A55" s="16" t="s">
        <v>6</v>
      </c>
      <c r="B55" s="17" t="s">
        <v>317</v>
      </c>
      <c r="C55" s="18" t="s">
        <v>318</v>
      </c>
      <c r="D55" s="19" t="s">
        <v>8</v>
      </c>
      <c r="E55" s="19" t="s">
        <v>136</v>
      </c>
      <c r="F55" s="22" t="s">
        <v>18</v>
      </c>
      <c r="G55" s="19" t="s">
        <v>319</v>
      </c>
      <c r="H55" s="19" t="s">
        <v>320</v>
      </c>
      <c r="I55" s="19" t="s">
        <v>321</v>
      </c>
      <c r="J55" s="19" t="s">
        <v>22</v>
      </c>
    </row>
    <row r="56" customFormat="false" ht="43.5" hidden="false" customHeight="true" outlineLevel="0" collapsed="false">
      <c r="A56" s="16" t="s">
        <v>6</v>
      </c>
      <c r="B56" s="17" t="s">
        <v>322</v>
      </c>
      <c r="C56" s="18" t="s">
        <v>323</v>
      </c>
      <c r="D56" s="19" t="s">
        <v>8</v>
      </c>
      <c r="E56" s="19" t="s">
        <v>120</v>
      </c>
      <c r="F56" s="22" t="s">
        <v>18</v>
      </c>
      <c r="G56" s="19" t="s">
        <v>324</v>
      </c>
      <c r="H56" s="19" t="s">
        <v>325</v>
      </c>
      <c r="I56" s="19" t="s">
        <v>326</v>
      </c>
      <c r="J56" s="19" t="s">
        <v>22</v>
      </c>
    </row>
    <row r="57" customFormat="false" ht="67.5" hidden="false" customHeight="true" outlineLevel="0" collapsed="false">
      <c r="A57" s="16" t="s">
        <v>6</v>
      </c>
      <c r="B57" s="17" t="s">
        <v>327</v>
      </c>
      <c r="C57" s="18" t="s">
        <v>328</v>
      </c>
      <c r="D57" s="19" t="s">
        <v>11</v>
      </c>
      <c r="E57" s="19" t="s">
        <v>11</v>
      </c>
      <c r="F57" s="22" t="s">
        <v>18</v>
      </c>
      <c r="G57" s="19" t="s">
        <v>329</v>
      </c>
      <c r="H57" s="19" t="s">
        <v>330</v>
      </c>
      <c r="I57" s="19" t="s">
        <v>331</v>
      </c>
      <c r="J57" s="19" t="s">
        <v>23</v>
      </c>
    </row>
  </sheetData>
  <autoFilter ref="A4:J57"/>
  <dataValidations count="2">
    <dataValidation allowBlank="true" errorStyle="stop" operator="between" showDropDown="false" showErrorMessage="false" showInputMessage="false" sqref="J5:J57" type="list">
      <formula1>"Draft,Clarification Required,Ready for Development,In Development,Ready for QA,Done,Blocked"</formula1>
      <formula2>0</formula2>
    </dataValidation>
    <dataValidation allowBlank="true" errorStyle="stop" operator="between" showDropDown="false" showErrorMessage="false" showInputMessage="false" sqref="F5:F57" type="list">
      <formula1>"Must Have,Should Have,Could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2026-10-03T10:31:02Z</dcterms:created>
  <dc:creator>openpyxl</dc:creator>
  <dc:description/>
  <dc:language>en-US</dc:language>
  <cp:lastModifiedBy/>
  <dcterms:modified xsi:type="dcterms:W3CDTF">2026-10-03T10:31:02Z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